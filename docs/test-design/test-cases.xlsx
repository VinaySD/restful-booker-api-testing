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s>
  <definedNames>
    <definedName function="false" hidden="true" localSheetId="1" name="_xlnm._FilterDatabase" vbProcedure="false">'Test Cases'!$A$1:$K$53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<sst xmlns="http://schemas.openxmlformats.org/spreadsheetml/2006/main" count="605" uniqueCount="318">
  <si>
    <t xml:space="preserve">Test Case Summary — Restful-Booker API Test Coverage</t>
  </si>
  <si>
    <t xml:space="preserve">Total Test Cases</t>
  </si>
  <si>
    <t xml:space="preserve">By Module</t>
  </si>
  <si>
    <t xml:space="preserve">Value</t>
  </si>
  <si>
    <t xml:space="preserve">Count</t>
  </si>
  <si>
    <t xml:space="preserve">Auth</t>
  </si>
  <si>
    <t xml:space="preserve">Booking CRUD</t>
  </si>
  <si>
    <t xml:space="preserve">Data Validation</t>
  </si>
  <si>
    <t xml:space="preserve">Non-Functional</t>
  </si>
  <si>
    <t xml:space="preserve">System Health</t>
  </si>
  <si>
    <t xml:space="preserve">By Priority</t>
  </si>
  <si>
    <t xml:space="preserve">High</t>
  </si>
  <si>
    <t xml:space="preserve">Medium</t>
  </si>
  <si>
    <t xml:space="preserve">Low</t>
  </si>
  <si>
    <t xml:space="preserve">By Type</t>
  </si>
  <si>
    <t xml:space="preserve">Positive</t>
  </si>
  <si>
    <t xml:space="preserve">Negative</t>
  </si>
  <si>
    <t xml:space="preserve">Boundary</t>
  </si>
  <si>
    <t xml:space="preserve">Test Case ID</t>
  </si>
  <si>
    <t xml:space="preserve">Scenario ID</t>
  </si>
  <si>
    <t xml:space="preserve">Requirement ID</t>
  </si>
  <si>
    <t xml:space="preserve">Module</t>
  </si>
  <si>
    <t xml:space="preserve">Type</t>
  </si>
  <si>
    <t xml:space="preserve">Title</t>
  </si>
  <si>
    <t xml:space="preserve">Preconditions</t>
  </si>
  <si>
    <t xml:space="preserve">Test Steps</t>
  </si>
  <si>
    <t xml:space="preserve">Test Data</t>
  </si>
  <si>
    <t xml:space="preserve">Expected Result</t>
  </si>
  <si>
    <t xml:space="preserve">Priority</t>
  </si>
  <si>
    <t xml:space="preserve">TC-001</t>
  </si>
  <si>
    <t xml:space="preserve">SCN-01</t>
  </si>
  <si>
    <t xml:space="preserve">US-01</t>
  </si>
  <si>
    <t xml:space="preserve">Authenticate with valid credentials</t>
  </si>
  <si>
    <t xml:space="preserve">None</t>
  </si>
  <si>
    <t xml:space="preserve">Send POST /auth with a valid username and password</t>
  </si>
  <si>
    <t xml:space="preserve">username: admin, password: (valid, per API docs)</t>
  </si>
  <si>
    <t xml:space="preserve">Response returns 200 OK with a non-empty token field</t>
  </si>
  <si>
    <t xml:space="preserve">TC-002</t>
  </si>
  <si>
    <t xml:space="preserve">SCN-02</t>
  </si>
  <si>
    <t xml:space="preserve">Authenticate with an incorrect password</t>
  </si>
  <si>
    <t xml:space="preserve">Send POST /auth with a valid username and an incorrect password</t>
  </si>
  <si>
    <t xml:space="preserve">username: admin, password: wrongpass123</t>
  </si>
  <si>
    <t xml:space="preserve">Response does not return a valid token</t>
  </si>
  <si>
    <t xml:space="preserve">TC-003</t>
  </si>
  <si>
    <t xml:space="preserve">Authenticate with an incorrect username</t>
  </si>
  <si>
    <t xml:space="preserve">Send POST /auth with an invalid username and a valid password</t>
  </si>
  <si>
    <t xml:space="preserve">username: notarealuser, password: (valid)</t>
  </si>
  <si>
    <t xml:space="preserve">TC-004</t>
  </si>
  <si>
    <t xml:space="preserve">Authenticate with a missing username</t>
  </si>
  <si>
    <t xml:space="preserve">Send POST /auth with only a password field</t>
  </si>
  <si>
    <t xml:space="preserve">{"password": "..."}</t>
  </si>
  <si>
    <t xml:space="preserve">Request is rejected; no token is returned</t>
  </si>
  <si>
    <t xml:space="preserve">TC-005</t>
  </si>
  <si>
    <t xml:space="preserve">Authenticate with a missing password</t>
  </si>
  <si>
    <t xml:space="preserve">Send POST /auth with only a username field</t>
  </si>
  <si>
    <t xml:space="preserve">{"username": "admin"}</t>
  </si>
  <si>
    <t xml:space="preserve">TC-006</t>
  </si>
  <si>
    <t xml:space="preserve">Authenticate with an empty request body</t>
  </si>
  <si>
    <t xml:space="preserve">Send POST /auth with an empty JSON body</t>
  </si>
  <si>
    <t xml:space="preserve">{}</t>
  </si>
  <si>
    <t xml:space="preserve">TC-007</t>
  </si>
  <si>
    <t xml:space="preserve">SCN-03</t>
  </si>
  <si>
    <t xml:space="preserve">US-02</t>
  </si>
  <si>
    <t xml:space="preserve">Create a booking with all valid fields</t>
  </si>
  <si>
    <t xml:space="preserve">Send POST /booking with a complete valid payload</t>
  </si>
  <si>
    <t xml:space="preserve">firstname, lastname, totalprice, depositpaid, bookingdates{checkin, checkout}, additionalneeds</t>
  </si>
  <si>
    <t xml:space="preserve">200 OK; response includes a new bookingid and the submitted data unchanged</t>
  </si>
  <si>
    <t xml:space="preserve">TC-008</t>
  </si>
  <si>
    <t xml:space="preserve">Create a booking without the optional additionalneeds field</t>
  </si>
  <si>
    <t xml:space="preserve">Send POST /booking omitting additionalneeds</t>
  </si>
  <si>
    <t xml:space="preserve">firstname, lastname, totalprice, depositpaid, bookingdates</t>
  </si>
  <si>
    <t xml:space="preserve">200 OK; booking is created successfully</t>
  </si>
  <si>
    <t xml:space="preserve">TC-009</t>
  </si>
  <si>
    <t xml:space="preserve">SCN-04</t>
  </si>
  <si>
    <t xml:space="preserve">Create a booking without firstname</t>
  </si>
  <si>
    <t xml:space="preserve">Send POST /booking with the firstname field omitted</t>
  </si>
  <si>
    <t xml:space="preserve">lastname, totalprice, depositpaid, bookingdates</t>
  </si>
  <si>
    <t xml:space="preserve">Request is rejected with a client error; booking is not created</t>
  </si>
  <si>
    <t xml:space="preserve">TC-010</t>
  </si>
  <si>
    <t xml:space="preserve">Create a booking without lastname</t>
  </si>
  <si>
    <t xml:space="preserve">Send POST /booking with the lastname field omitted</t>
  </si>
  <si>
    <t xml:space="preserve">firstname, totalprice, depositpaid, bookingdates</t>
  </si>
  <si>
    <t xml:space="preserve">TC-011</t>
  </si>
  <si>
    <t xml:space="preserve">US-02, US-08</t>
  </si>
  <si>
    <t xml:space="preserve">Create a booking with a negative total price</t>
  </si>
  <si>
    <t xml:space="preserve">Send POST /booking with totalprice set to a negative number</t>
  </si>
  <si>
    <t xml:space="preserve">totalprice: -100</t>
  </si>
  <si>
    <t xml:space="preserve">Request is rejected; a negative price should not be accepted</t>
  </si>
  <si>
    <t xml:space="preserve">TC-012</t>
  </si>
  <si>
    <t xml:space="preserve">Create a booking with totalprice as a text string</t>
  </si>
  <si>
    <t xml:space="preserve">Send POST /booking with totalprice as a non-numeric string</t>
  </si>
  <si>
    <t xml:space="preserve">totalprice: "abc"</t>
  </si>
  <si>
    <t xml:space="preserve">Request is rejected due to invalid data type</t>
  </si>
  <si>
    <t xml:space="preserve">TC-013</t>
  </si>
  <si>
    <t xml:space="preserve">Create a booking with depositpaid as a non-boolean value</t>
  </si>
  <si>
    <t xml:space="preserve">Send POST /booking with depositpaid set to a non-boolean value</t>
  </si>
  <si>
    <t xml:space="preserve">depositpaid: "yes"</t>
  </si>
  <si>
    <t xml:space="preserve">TC-014</t>
  </si>
  <si>
    <t xml:space="preserve">Create a booking with an invalid checkin date format</t>
  </si>
  <si>
    <t xml:space="preserve">Send POST /booking with checkin in an invalid format</t>
  </si>
  <si>
    <t xml:space="preserve">checkin: "31-13-2026"</t>
  </si>
  <si>
    <t xml:space="preserve">Request is rejected with a validation error; booking is not created with corrupted date data</t>
  </si>
  <si>
    <t xml:space="preserve">TC-015</t>
  </si>
  <si>
    <t xml:space="preserve">Create a booking where checkout is before checkin</t>
  </si>
  <si>
    <t xml:space="preserve">Send POST /booking with checkout dated earlier than checkin</t>
  </si>
  <si>
    <t xml:space="preserve">checkin: 2026-12-10, checkout: 2026-12-05</t>
  </si>
  <si>
    <t xml:space="preserve">Request is rejected as an invalid date range</t>
  </si>
  <si>
    <t xml:space="preserve">TC-016</t>
  </si>
  <si>
    <t xml:space="preserve">Create a booking with an empty request body</t>
  </si>
  <si>
    <t xml:space="preserve">Send POST /booking with an empty JSON body</t>
  </si>
  <si>
    <t xml:space="preserve">Request is rejected; booking is not created</t>
  </si>
  <si>
    <t xml:space="preserve">TC-017</t>
  </si>
  <si>
    <t xml:space="preserve">Create a booking with an unexpected extra field</t>
  </si>
  <si>
    <t xml:space="preserve">Send POST /booking with a valid payload plus an extra, undocumented field</t>
  </si>
  <si>
    <t xml:space="preserve">valid payload + roomType: "deluxe"</t>
  </si>
  <si>
    <t xml:space="preserve">The extra field is ignored and the booking is created with only recognized fields, or the request is rejected consistently</t>
  </si>
  <si>
    <t xml:space="preserve">TC-018</t>
  </si>
  <si>
    <t xml:space="preserve">SCN-05</t>
  </si>
  <si>
    <t xml:space="preserve">US-03</t>
  </si>
  <si>
    <t xml:space="preserve">Retrieve an existing booking by ID</t>
  </si>
  <si>
    <t xml:space="preserve">A booking exists</t>
  </si>
  <si>
    <t xml:space="preserve">Send GET /booking/{id} using a known valid ID</t>
  </si>
  <si>
    <t xml:space="preserve">bookingid of the booking created during setup</t>
  </si>
  <si>
    <t xml:space="preserve">200 OK; response body matches the created booking's data</t>
  </si>
  <si>
    <t xml:space="preserve">TC-019</t>
  </si>
  <si>
    <t xml:space="preserve">SCN-06</t>
  </si>
  <si>
    <t xml:space="preserve">Retrieve a booking using a non-existent ID</t>
  </si>
  <si>
    <t xml:space="preserve">Send GET /booking/999999</t>
  </si>
  <si>
    <t xml:space="preserve">id: 999999</t>
  </si>
  <si>
    <t xml:space="preserve">404 Not Found response</t>
  </si>
  <si>
    <t xml:space="preserve">TC-020</t>
  </si>
  <si>
    <t xml:space="preserve">Retrieve a booking using a non-numeric ID</t>
  </si>
  <si>
    <t xml:space="preserve">Send GET /booking/abc</t>
  </si>
  <si>
    <t xml:space="preserve">id: "abc"</t>
  </si>
  <si>
    <t xml:space="preserve">Request is rejected with an appropriate client error</t>
  </si>
  <si>
    <t xml:space="preserve">TC-021</t>
  </si>
  <si>
    <t xml:space="preserve">SCN-07</t>
  </si>
  <si>
    <t xml:space="preserve">US-04</t>
  </si>
  <si>
    <t xml:space="preserve">Retrieve all booking IDs with no filter</t>
  </si>
  <si>
    <t xml:space="preserve">At least one booking exists</t>
  </si>
  <si>
    <t xml:space="preserve">Send GET /booking</t>
  </si>
  <si>
    <t xml:space="preserve">none</t>
  </si>
  <si>
    <t xml:space="preserve">200 OK; a list of booking IDs is returned</t>
  </si>
  <si>
    <t xml:space="preserve">TC-022</t>
  </si>
  <si>
    <t xml:space="preserve">Filter bookings by firstname</t>
  </si>
  <si>
    <t xml:space="preserve">A booking with a known firstname exists</t>
  </si>
  <si>
    <t xml:space="preserve">Send GET /booking?firstname=Vinay</t>
  </si>
  <si>
    <t xml:space="preserve">firstname=Vinay</t>
  </si>
  <si>
    <t xml:space="preserve">Only bookings with that firstname are returned</t>
  </si>
  <si>
    <t xml:space="preserve">TC-023</t>
  </si>
  <si>
    <t xml:space="preserve">Filter bookings by lastname</t>
  </si>
  <si>
    <t xml:space="preserve">A booking with a known lastname exists</t>
  </si>
  <si>
    <t xml:space="preserve">Send GET /booking?lastname=Chaudhari</t>
  </si>
  <si>
    <t xml:space="preserve">lastname=Chaudhari</t>
  </si>
  <si>
    <t xml:space="preserve">Only bookings with that lastname are returned</t>
  </si>
  <si>
    <t xml:space="preserve">TC-024</t>
  </si>
  <si>
    <t xml:space="preserve">Filter bookings by firstname and lastname combined</t>
  </si>
  <si>
    <t xml:space="preserve">A matching booking exists</t>
  </si>
  <si>
    <t xml:space="preserve">Send GET /booking?firstname=Vinay&amp;lastname=Chaudhari</t>
  </si>
  <si>
    <t xml:space="preserve">firstname=Vinay, lastname=Chaudhari</t>
  </si>
  <si>
    <t xml:space="preserve">Only the exact matching booking(s) are returned</t>
  </si>
  <si>
    <t xml:space="preserve">TC-025</t>
  </si>
  <si>
    <t xml:space="preserve">SCN-08</t>
  </si>
  <si>
    <t xml:space="preserve">Filter bookings by checkin date</t>
  </si>
  <si>
    <t xml:space="preserve">A booking with checkin 2026-12-01 exists</t>
  </si>
  <si>
    <t xml:space="preserve">Send GET /booking?checkin=2026-11-30</t>
  </si>
  <si>
    <t xml:space="preserve">checkin=2026-11-30</t>
  </si>
  <si>
    <t xml:space="preserve">Only bookings with a checkin date on or after the given date are returned; the known booking is included</t>
  </si>
  <si>
    <t xml:space="preserve">TC-026</t>
  </si>
  <si>
    <t xml:space="preserve">Filter bookings by checkout date</t>
  </si>
  <si>
    <t xml:space="preserve">A booking with checkout 2026-12-10 exists</t>
  </si>
  <si>
    <t xml:space="preserve">Send GET /booking?checkout=2026-12-11</t>
  </si>
  <si>
    <t xml:space="preserve">checkout=2026-12-11</t>
  </si>
  <si>
    <t xml:space="preserve">Only bookings with a checkout date on or before the given date are returned; the known booking is included</t>
  </si>
  <si>
    <t xml:space="preserve">TC-027</t>
  </si>
  <si>
    <t xml:space="preserve">Filter bookings by a name with no matches</t>
  </si>
  <si>
    <t xml:space="preserve">Send GET /booking?firstname=Zzzznotarealname</t>
  </si>
  <si>
    <t xml:space="preserve">firstname=Zzzznotarealname</t>
  </si>
  <si>
    <t xml:space="preserve">An empty list is returned, not an error</t>
  </si>
  <si>
    <t xml:space="preserve">TC-028</t>
  </si>
  <si>
    <t xml:space="preserve">SCN-09</t>
  </si>
  <si>
    <t xml:space="preserve">US-05</t>
  </si>
  <si>
    <t xml:space="preserve">Fully update a booking with a valid token</t>
  </si>
  <si>
    <t xml:space="preserve">A booking exists; valid token obtained</t>
  </si>
  <si>
    <t xml:space="preserve">Send PUT /booking/{id} with a complete valid payload and a valid token</t>
  </si>
  <si>
    <t xml:space="preserve">full updated payload</t>
  </si>
  <si>
    <t xml:space="preserve">200 OK; response reflects the updated data</t>
  </si>
  <si>
    <t xml:space="preserve">TC-029</t>
  </si>
  <si>
    <t xml:space="preserve">SCN-10</t>
  </si>
  <si>
    <t xml:space="preserve">Fully update a booking without an auth token</t>
  </si>
  <si>
    <t xml:space="preserve">Send PUT /booking/{id} with a valid payload but no token</t>
  </si>
  <si>
    <t xml:space="preserve">full valid payload, no token</t>
  </si>
  <si>
    <t xml:space="preserve">Request is rejected (unauthorized)</t>
  </si>
  <si>
    <t xml:space="preserve">TC-030</t>
  </si>
  <si>
    <t xml:space="preserve">Fully update a booking with an invalid token</t>
  </si>
  <si>
    <t xml:space="preserve">Send PUT /booking/{id} with an invalid/garbage token</t>
  </si>
  <si>
    <t xml:space="preserve">full valid payload, token: "invalidtoken123"</t>
  </si>
  <si>
    <t xml:space="preserve">TC-031</t>
  </si>
  <si>
    <t xml:space="preserve">SCN-11</t>
  </si>
  <si>
    <t xml:space="preserve">Fully update a non-existent booking</t>
  </si>
  <si>
    <t xml:space="preserve">Valid token obtained</t>
  </si>
  <si>
    <t xml:space="preserve">Send PUT /booking/999999 with a valid payload and a valid token</t>
  </si>
  <si>
    <t xml:space="preserve">404 Not Found</t>
  </si>
  <si>
    <t xml:space="preserve">TC-032</t>
  </si>
  <si>
    <t xml:space="preserve">US-05, US-08</t>
  </si>
  <si>
    <t xml:space="preserve">Fully update a booking with a missing required field</t>
  </si>
  <si>
    <t xml:space="preserve">Send PUT /booking/{id} omitting the firstname field</t>
  </si>
  <si>
    <t xml:space="preserve">payload missing firstname</t>
  </si>
  <si>
    <t xml:space="preserve">Request is rejected due to a missing required field</t>
  </si>
  <si>
    <t xml:space="preserve">TC-033</t>
  </si>
  <si>
    <t xml:space="preserve">Fully update a booking with an invalid date format</t>
  </si>
  <si>
    <t xml:space="preserve">Send PUT /booking/{id} with checkin set to an invalid value</t>
  </si>
  <si>
    <t xml:space="preserve">checkin: "not-a-date"</t>
  </si>
  <si>
    <t xml:space="preserve">Request is rejected with a validation error</t>
  </si>
  <si>
    <t xml:space="preserve">TC-034</t>
  </si>
  <si>
    <t xml:space="preserve">SCN-12</t>
  </si>
  <si>
    <t xml:space="preserve">US-06</t>
  </si>
  <si>
    <t xml:space="preserve">Partially update only the firstname field</t>
  </si>
  <si>
    <t xml:space="preserve">Send PATCH /booking/{id} with only firstname in the body</t>
  </si>
  <si>
    <t xml:space="preserve">{"firstname": "NewName"}</t>
  </si>
  <si>
    <t xml:space="preserve">200 OK; only firstname changes, all other fields remain as before</t>
  </si>
  <si>
    <t xml:space="preserve">TC-035</t>
  </si>
  <si>
    <t xml:space="preserve">Partially update only the totalprice field</t>
  </si>
  <si>
    <t xml:space="preserve">Send PATCH /booking/{id} with only totalprice in the body</t>
  </si>
  <si>
    <t xml:space="preserve">{"totalprice": 500}</t>
  </si>
  <si>
    <t xml:space="preserve">200 OK; only totalprice changes, all other fields remain as before</t>
  </si>
  <si>
    <t xml:space="preserve">TC-036</t>
  </si>
  <si>
    <t xml:space="preserve">Partially update a booking without an auth token</t>
  </si>
  <si>
    <t xml:space="preserve">Send PATCH /booking/{id} with a valid partial payload and no token</t>
  </si>
  <si>
    <t xml:space="preserve">{"firstname": "NoAuth"}, no token</t>
  </si>
  <si>
    <t xml:space="preserve">TC-037</t>
  </si>
  <si>
    <t xml:space="preserve">Partially update a booking with an empty body</t>
  </si>
  <si>
    <t xml:space="preserve">Send PATCH /booking/{id} with an empty JSON body</t>
  </si>
  <si>
    <t xml:space="preserve">Request is rejected, or the booking remains unchanged with no error side effects</t>
  </si>
  <si>
    <t xml:space="preserve">TC-038</t>
  </si>
  <si>
    <t xml:space="preserve">SCN-13</t>
  </si>
  <si>
    <t xml:space="preserve">US-07</t>
  </si>
  <si>
    <t xml:space="preserve">Delete a booking with a valid token</t>
  </si>
  <si>
    <t xml:space="preserve">Send DELETE /booking/{id} with a valid token</t>
  </si>
  <si>
    <t xml:space="preserve">id, valid token</t>
  </si>
  <si>
    <t xml:space="preserve">The booking is deleted successfully</t>
  </si>
  <si>
    <t xml:space="preserve">TC-039</t>
  </si>
  <si>
    <t xml:space="preserve">Verify a deleted booking is no longer retrievable</t>
  </si>
  <si>
    <t xml:space="preserve">A booking has been created and then deleted</t>
  </si>
  <si>
    <t xml:space="preserve">Send GET /booking/{id} for the deleted ID</t>
  </si>
  <si>
    <t xml:space="preserve">id of the deleted booking</t>
  </si>
  <si>
    <t xml:space="preserve">TC-040</t>
  </si>
  <si>
    <t xml:space="preserve">SCN-14</t>
  </si>
  <si>
    <t xml:space="preserve">Delete a booking without an auth token</t>
  </si>
  <si>
    <t xml:space="preserve">Send DELETE /booking/{id} with no token</t>
  </si>
  <si>
    <t xml:space="preserve">id, no token</t>
  </si>
  <si>
    <t xml:space="preserve">Request is rejected (unauthorized); booking is not deleted</t>
  </si>
  <si>
    <t xml:space="preserve">TC-041</t>
  </si>
  <si>
    <t xml:space="preserve">Delete a booking using the token in an Authorization header</t>
  </si>
  <si>
    <t xml:space="preserve">Send DELETE /booking/{id} with the token passed as "Authorization: Bearer {token}"</t>
  </si>
  <si>
    <t xml:space="preserve">id, token via Authorization header</t>
  </si>
  <si>
    <t xml:space="preserve">The request should authenticate successfully using the token, consistent with standard REST auth conventions</t>
  </si>
  <si>
    <t xml:space="preserve">TC-042</t>
  </si>
  <si>
    <t xml:space="preserve">SCN-15</t>
  </si>
  <si>
    <t xml:space="preserve">Delete a non-existent booking</t>
  </si>
  <si>
    <t xml:space="preserve">Send DELETE /booking/999999 with a valid token</t>
  </si>
  <si>
    <t xml:space="preserve">TC-043</t>
  </si>
  <si>
    <t xml:space="preserve">Confirm the status code returned on a successful delete</t>
  </si>
  <si>
    <t xml:space="preserve">Send DELETE /booking/{id} with a valid token and inspect the status code</t>
  </si>
  <si>
    <t xml:space="preserve">Response returns 200 OK (or 204 No Content) to indicate success</t>
  </si>
  <si>
    <t xml:space="preserve">TC-044</t>
  </si>
  <si>
    <t xml:space="preserve">SCN-16</t>
  </si>
  <si>
    <t xml:space="preserve">US-08</t>
  </si>
  <si>
    <t xml:space="preserve">Create a booking with totalprice of 0</t>
  </si>
  <si>
    <t xml:space="preserve">Send POST /booking with totalprice set to 0</t>
  </si>
  <si>
    <t xml:space="preserve">totalprice: 0</t>
  </si>
  <si>
    <t xml:space="preserve">Behavior is consistent with business rules for a zero-price booking (accepted or explicitly rejected, not inconsistent)</t>
  </si>
  <si>
    <t xml:space="preserve">TC-045</t>
  </si>
  <si>
    <t xml:space="preserve">Create a booking with a very large totalprice</t>
  </si>
  <si>
    <t xml:space="preserve">Send POST /booking with a very large totalprice value</t>
  </si>
  <si>
    <t xml:space="preserve">totalprice: 999999999</t>
  </si>
  <si>
    <t xml:space="preserve">The value is handled without truncation or overflow errors</t>
  </si>
  <si>
    <t xml:space="preserve">TC-046</t>
  </si>
  <si>
    <t xml:space="preserve">Create a booking with a very long firstname</t>
  </si>
  <si>
    <t xml:space="preserve">Send POST /booking with a 300-character firstname</t>
  </si>
  <si>
    <t xml:space="preserve">firstname: 300 characters</t>
  </si>
  <si>
    <t xml:space="preserve">The value is either accepted in full or rejected with a clear length-validation error, not silently truncated</t>
  </si>
  <si>
    <t xml:space="preserve">TC-047</t>
  </si>
  <si>
    <t xml:space="preserve">Create a booking with special characters/script tags in firstname</t>
  </si>
  <si>
    <t xml:space="preserve">Send POST /booking with a script-tag string as firstname</t>
  </si>
  <si>
    <t xml:space="preserve">firstname: "&lt;script&gt;alert(1)&lt;/script&gt;"</t>
  </si>
  <si>
    <t xml:space="preserve">Input is safely stored/escaped and not executed or reflected unsanitized</t>
  </si>
  <si>
    <t xml:space="preserve">TC-048</t>
  </si>
  <si>
    <t xml:space="preserve">SCN-17</t>
  </si>
  <si>
    <t xml:space="preserve">Create a booking where checkin and checkout are the same date</t>
  </si>
  <si>
    <t xml:space="preserve">Send POST /booking with checkin equal to checkout</t>
  </si>
  <si>
    <t xml:space="preserve">checkin/checkout: 2026-12-05</t>
  </si>
  <si>
    <t xml:space="preserve">Behavior is consistent with business rules for a single-day stay (accepted or explicitly rejected)</t>
  </si>
  <si>
    <t xml:space="preserve">TC-049</t>
  </si>
  <si>
    <t xml:space="preserve">SCN-18</t>
  </si>
  <si>
    <t xml:space="preserve">US-09</t>
  </si>
  <si>
    <t xml:space="preserve">Confirm the health-check endpoint reports success</t>
  </si>
  <si>
    <t xml:space="preserve">Send GET /ping</t>
  </si>
  <si>
    <t xml:space="preserve">Response returns 200 OK indicating the service is healthy</t>
  </si>
  <si>
    <t xml:space="preserve">TC-050</t>
  </si>
  <si>
    <t xml:space="preserve">Validate the structure and data types of the Create Booking response</t>
  </si>
  <si>
    <t xml:space="preserve">Send POST /booking with a valid payload and inspect the full response schema</t>
  </si>
  <si>
    <t xml:space="preserve">valid payload</t>
  </si>
  <si>
    <t xml:space="preserve">Response contains bookingid (number) and a booking object with firstname/lastname (string), totalprice (number), depositpaid (boolean), and bookingdates (checkin/checkout as date strings) matching the submitted types</t>
  </si>
  <si>
    <t xml:space="preserve">TC-051</t>
  </si>
  <si>
    <t xml:space="preserve">SCN-19</t>
  </si>
  <si>
    <t xml:space="preserve">NFR-01</t>
  </si>
  <si>
    <t xml:space="preserve">Confirm booking retrieval responds within an acceptable time threshold</t>
  </si>
  <si>
    <t xml:space="preserve">Send GET /booking/{id} and measure the response time</t>
  </si>
  <si>
    <t xml:space="preserve">valid booking id</t>
  </si>
  <si>
    <t xml:space="preserve">Response is received in under 3 seconds, consistent with the threshold defined in the Test Plan</t>
  </si>
  <si>
    <t xml:space="preserve">TC-052</t>
  </si>
  <si>
    <t xml:space="preserve">SCN-20</t>
  </si>
  <si>
    <t xml:space="preserve">US-02, US-05, US-06, US-07</t>
  </si>
  <si>
    <t xml:space="preserve">Validate the full booking lifecycle end-to-end via chained requests</t>
  </si>
  <si>
    <t xml:space="preserve">In one flow: (1) create a booking and capture bookingid, (2) get the booking and verify it matches, (3) fully update it (PUT) and verify the change, (4) partially update one field (PATCH) and verify only that field changed, (5) delete the booking, (6) get the booking again</t>
  </si>
  <si>
    <t xml:space="preserve">full lifecycle payloads, chained bookingid</t>
  </si>
  <si>
    <t xml:space="preserve">Each step succeeds using data captured from the previous step, and the final GET confirms the booking no longer exists</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</si>
</sst>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D9E1F2"/>
        <bgColor rgb="FFD9D9D9"/>
      </patternFill>
    </fill>
    <fill>
      <patternFill patternType="solid">
        <fgColor rgb="FF1F4E78"/>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s>
  <sheetData>
    <row r="1" customFormat="false" ht="16.15" hidden="false" customHeight="false" outlineLevel="0" collapsed="false">
      <c r="A1" s="1" t="s">
        <v>0</v>
      </c>
      <c r="B1" s="1"/>
      <c r="C1" s="1"/>
    </row>
    <row r="3" customFormat="false" ht="15" hidden="false" customHeight="false" outlineLevel="0" collapsed="false">
      <c r="A3" s="2" t="s">
        <v>1</v>
      </c>
      <c r="B3" s="3" t="n">
        <f aca="false">COUNTA('Test Cases'!A2:A53)</f>
        <v>52</v>
      </c>
    </row>
    <row r="5" customFormat="false" ht="15" hidden="false" customHeight="false" outlineLevel="0" collapsed="false">
      <c r="A5" s="2" t="s">
        <v>2</v>
      </c>
    </row>
    <row r="6" customFormat="false" ht="15" hidden="false" customHeight="false" outlineLevel="0" collapsed="false">
      <c r="A6" s="4" t="s">
        <v>3</v>
      </c>
      <c r="B6" s="4" t="s">
        <v>4</v>
      </c>
    </row>
    <row r="7" customFormat="false" ht="15" hidden="false" customHeight="false" outlineLevel="0" collapsed="false">
      <c r="A7" s="3" t="s">
        <v>5</v>
      </c>
      <c r="B7" s="3" t="n">
        <f aca="false">COUNTIF('Test Cases'!D2:D53,"Auth")</f>
        <v>6</v>
      </c>
    </row>
    <row r="8" customFormat="false" ht="15" hidden="false" customHeight="false" outlineLevel="0" collapsed="false">
      <c r="A8" s="3" t="s">
        <v>6</v>
      </c>
      <c r="B8" s="3" t="n">
        <f aca="false">COUNTIF('Test Cases'!D2:D53,"Booking CRUD")</f>
        <v>39</v>
      </c>
    </row>
    <row r="9" customFormat="false" ht="15" hidden="false" customHeight="false" outlineLevel="0" collapsed="false">
      <c r="A9" s="3" t="s">
        <v>7</v>
      </c>
      <c r="B9" s="3" t="n">
        <f aca="false">COUNTIF('Test Cases'!D2:D53,"Data Validation")</f>
        <v>5</v>
      </c>
    </row>
    <row r="10" customFormat="false" ht="15" hidden="false" customHeight="false" outlineLevel="0" collapsed="false">
      <c r="A10" s="3" t="s">
        <v>8</v>
      </c>
      <c r="B10" s="3" t="n">
        <f aca="false">COUNTIF('Test Cases'!D2:D53,"Non-Functional")</f>
        <v>1</v>
      </c>
    </row>
    <row r="11" customFormat="false" ht="15" hidden="false" customHeight="false" outlineLevel="0" collapsed="false">
      <c r="A11" s="3" t="s">
        <v>9</v>
      </c>
      <c r="B11" s="3" t="n">
        <f aca="false">COUNTIF('Test Cases'!D2:D53,"System Health")</f>
        <v>1</v>
      </c>
    </row>
    <row r="13" customFormat="false" ht="15" hidden="false" customHeight="false" outlineLevel="0" collapsed="false">
      <c r="A13" s="2" t="s">
        <v>10</v>
      </c>
    </row>
    <row r="14" customFormat="false" ht="15" hidden="false" customHeight="false" outlineLevel="0" collapsed="false">
      <c r="A14" s="4" t="s">
        <v>3</v>
      </c>
      <c r="B14" s="4" t="s">
        <v>4</v>
      </c>
    </row>
    <row r="15" customFormat="false" ht="15" hidden="false" customHeight="false" outlineLevel="0" collapsed="false">
      <c r="A15" s="3" t="s">
        <v>11</v>
      </c>
      <c r="B15" s="3" t="n">
        <f aca="false">COUNTIF('Test Cases'!K2:K53,"High")</f>
        <v>18</v>
      </c>
    </row>
    <row r="16" customFormat="false" ht="15" hidden="false" customHeight="false" outlineLevel="0" collapsed="false">
      <c r="A16" s="3" t="s">
        <v>12</v>
      </c>
      <c r="B16" s="3" t="n">
        <f aca="false">COUNTIF('Test Cases'!K2:K53,"Medium")</f>
        <v>22</v>
      </c>
    </row>
    <row r="17" customFormat="false" ht="15" hidden="false" customHeight="false" outlineLevel="0" collapsed="false">
      <c r="A17" s="3" t="s">
        <v>13</v>
      </c>
      <c r="B17" s="3" t="n">
        <f aca="false">COUNTIF('Test Cases'!K2:K53,"Low")</f>
        <v>12</v>
      </c>
    </row>
    <row r="19" customFormat="false" ht="15" hidden="false" customHeight="false" outlineLevel="0" collapsed="false">
      <c r="A19" s="2" t="s">
        <v>14</v>
      </c>
    </row>
    <row r="20" customFormat="false" ht="15" hidden="false" customHeight="false" outlineLevel="0" collapsed="false">
      <c r="A20" s="4" t="s">
        <v>3</v>
      </c>
      <c r="B20" s="4" t="s">
        <v>4</v>
      </c>
    </row>
    <row r="21" customFormat="false" ht="15" hidden="false" customHeight="false" outlineLevel="0" collapsed="false">
      <c r="A21" s="3" t="s">
        <v>15</v>
      </c>
      <c r="B21" s="3" t="n">
        <f aca="false">COUNTIF('Test Cases'!E2:E53,"Positive")</f>
        <v>20</v>
      </c>
    </row>
    <row r="22" customFormat="false" ht="15" hidden="false" customHeight="false" outlineLevel="0" collapsed="false">
      <c r="A22" s="3" t="s">
        <v>16</v>
      </c>
      <c r="B22" s="3" t="n">
        <f aca="false">COUNTIF('Test Cases'!E2:E53,"Negative")</f>
        <v>28</v>
      </c>
    </row>
    <row r="23" customFormat="false" ht="15" hidden="false" customHeight="false" outlineLevel="0" collapsed="false">
      <c r="A23" s="3" t="s">
        <v>17</v>
      </c>
      <c r="B23" s="3" t="n">
        <f aca="false">COUNTIF('Test Cases'!E2:E53,"Boundary")</f>
        <v>4</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4" min="3" style="0" width="13"/>
    <col collapsed="false" customWidth="true" hidden="false" outlineLevel="0" max="5" min="5" style="0" width="10"/>
    <col collapsed="false" customWidth="true" hidden="false" outlineLevel="0" max="6" min="6" style="0" width="32"/>
    <col collapsed="false" customWidth="true" hidden="false" outlineLevel="0" max="7" min="7" style="0" width="20"/>
    <col collapsed="false" customWidth="true" hidden="false" outlineLevel="0" max="8" min="8" style="0" width="32"/>
    <col collapsed="false" customWidth="true" hidden="false" outlineLevel="0" max="9" min="9" style="0" width="26"/>
    <col collapsed="false" customWidth="true" hidden="false" outlineLevel="0" max="10" min="10" style="0" width="42"/>
    <col collapsed="false" customWidth="true" hidden="false" outlineLevel="0" max="11" min="11" style="0" width="9"/>
  </cols>
  <sheetData>
    <row r="1" customFormat="false" ht="23.85" hidden="false" customHeight="false" outlineLevel="0" collapsed="false">
      <c r="A1" s="5" t="s">
        <v>18</v>
      </c>
      <c r="B1" s="5" t="s">
        <v>19</v>
      </c>
      <c r="C1" s="5" t="s">
        <v>20</v>
      </c>
      <c r="D1" s="5" t="s">
        <v>21</v>
      </c>
      <c r="E1" s="5" t="s">
        <v>22</v>
      </c>
      <c r="F1" s="5" t="s">
        <v>23</v>
      </c>
      <c r="G1" s="5" t="s">
        <v>24</v>
      </c>
      <c r="H1" s="5" t="s">
        <v>25</v>
      </c>
      <c r="I1" s="5" t="s">
        <v>26</v>
      </c>
      <c r="J1" s="5" t="s">
        <v>27</v>
      </c>
      <c r="K1" s="5" t="s">
        <v>28</v>
      </c>
    </row>
    <row r="2" customFormat="false" ht="23.85" hidden="false" customHeight="false" outlineLevel="0" collapsed="false">
      <c r="A2" s="6" t="s">
        <v>29</v>
      </c>
      <c r="B2" s="6" t="s">
        <v>30</v>
      </c>
      <c r="C2" s="6" t="s">
        <v>31</v>
      </c>
      <c r="D2" s="6" t="s">
        <v>5</v>
      </c>
      <c r="E2" s="6" t="s">
        <v>15</v>
      </c>
      <c r="F2" s="7" t="s">
        <v>32</v>
      </c>
      <c r="G2" s="7" t="s">
        <v>33</v>
      </c>
      <c r="H2" s="7" t="s">
        <v>34</v>
      </c>
      <c r="I2" s="7" t="s">
        <v>35</v>
      </c>
      <c r="J2" s="7" t="s">
        <v>36</v>
      </c>
      <c r="K2" s="6" t="s">
        <v>11</v>
      </c>
    </row>
    <row r="3" customFormat="false" ht="23.85" hidden="false" customHeight="false" outlineLevel="0" collapsed="false">
      <c r="A3" s="6" t="s">
        <v>37</v>
      </c>
      <c r="B3" s="6" t="s">
        <v>38</v>
      </c>
      <c r="C3" s="6" t="s">
        <v>31</v>
      </c>
      <c r="D3" s="6" t="s">
        <v>5</v>
      </c>
      <c r="E3" s="6" t="s">
        <v>16</v>
      </c>
      <c r="F3" s="7" t="s">
        <v>39</v>
      </c>
      <c r="G3" s="7" t="s">
        <v>33</v>
      </c>
      <c r="H3" s="7" t="s">
        <v>40</v>
      </c>
      <c r="I3" s="7" t="s">
        <v>41</v>
      </c>
      <c r="J3" s="7" t="s">
        <v>42</v>
      </c>
      <c r="K3" s="6" t="s">
        <v>11</v>
      </c>
    </row>
    <row r="4" customFormat="false" ht="23.85" hidden="false" customHeight="false" outlineLevel="0" collapsed="false">
      <c r="A4" s="6" t="s">
        <v>43</v>
      </c>
      <c r="B4" s="6" t="s">
        <v>38</v>
      </c>
      <c r="C4" s="6" t="s">
        <v>31</v>
      </c>
      <c r="D4" s="6" t="s">
        <v>5</v>
      </c>
      <c r="E4" s="6" t="s">
        <v>16</v>
      </c>
      <c r="F4" s="7" t="s">
        <v>44</v>
      </c>
      <c r="G4" s="7" t="s">
        <v>33</v>
      </c>
      <c r="H4" s="7" t="s">
        <v>45</v>
      </c>
      <c r="I4" s="7" t="s">
        <v>46</v>
      </c>
      <c r="J4" s="7" t="s">
        <v>42</v>
      </c>
      <c r="K4" s="6" t="s">
        <v>12</v>
      </c>
    </row>
    <row r="5" customFormat="false" ht="23.85" hidden="false" customHeight="false" outlineLevel="0" collapsed="false">
      <c r="A5" s="6" t="s">
        <v>47</v>
      </c>
      <c r="B5" s="6" t="s">
        <v>38</v>
      </c>
      <c r="C5" s="6" t="s">
        <v>31</v>
      </c>
      <c r="D5" s="6" t="s">
        <v>5</v>
      </c>
      <c r="E5" s="6" t="s">
        <v>16</v>
      </c>
      <c r="F5" s="7" t="s">
        <v>48</v>
      </c>
      <c r="G5" s="7" t="s">
        <v>33</v>
      </c>
      <c r="H5" s="7" t="s">
        <v>49</v>
      </c>
      <c r="I5" s="7" t="s">
        <v>50</v>
      </c>
      <c r="J5" s="7" t="s">
        <v>51</v>
      </c>
      <c r="K5" s="6" t="s">
        <v>12</v>
      </c>
    </row>
    <row r="6" customFormat="false" ht="23.85" hidden="false" customHeight="false" outlineLevel="0" collapsed="false">
      <c r="A6" s="6" t="s">
        <v>52</v>
      </c>
      <c r="B6" s="6" t="s">
        <v>38</v>
      </c>
      <c r="C6" s="6" t="s">
        <v>31</v>
      </c>
      <c r="D6" s="6" t="s">
        <v>5</v>
      </c>
      <c r="E6" s="6" t="s">
        <v>16</v>
      </c>
      <c r="F6" s="7" t="s">
        <v>53</v>
      </c>
      <c r="G6" s="7" t="s">
        <v>33</v>
      </c>
      <c r="H6" s="7" t="s">
        <v>54</v>
      </c>
      <c r="I6" s="7" t="s">
        <v>55</v>
      </c>
      <c r="J6" s="7" t="s">
        <v>51</v>
      </c>
      <c r="K6" s="6" t="s">
        <v>12</v>
      </c>
    </row>
    <row r="7" customFormat="false" ht="23.85" hidden="false" customHeight="false" outlineLevel="0" collapsed="false">
      <c r="A7" s="6" t="s">
        <v>56</v>
      </c>
      <c r="B7" s="6" t="s">
        <v>38</v>
      </c>
      <c r="C7" s="6" t="s">
        <v>31</v>
      </c>
      <c r="D7" s="6" t="s">
        <v>5</v>
      </c>
      <c r="E7" s="6" t="s">
        <v>16</v>
      </c>
      <c r="F7" s="7" t="s">
        <v>57</v>
      </c>
      <c r="G7" s="7" t="s">
        <v>33</v>
      </c>
      <c r="H7" s="7" t="s">
        <v>58</v>
      </c>
      <c r="I7" s="7" t="s">
        <v>59</v>
      </c>
      <c r="J7" s="7" t="s">
        <v>51</v>
      </c>
      <c r="K7" s="6" t="s">
        <v>13</v>
      </c>
    </row>
    <row r="8" customFormat="false" ht="46.25" hidden="false" customHeight="false" outlineLevel="0" collapsed="false">
      <c r="A8" s="6" t="s">
        <v>60</v>
      </c>
      <c r="B8" s="6" t="s">
        <v>61</v>
      </c>
      <c r="C8" s="6" t="s">
        <v>62</v>
      </c>
      <c r="D8" s="6" t="s">
        <v>6</v>
      </c>
      <c r="E8" s="6" t="s">
        <v>15</v>
      </c>
      <c r="F8" s="7" t="s">
        <v>63</v>
      </c>
      <c r="G8" s="7" t="s">
        <v>33</v>
      </c>
      <c r="H8" s="7" t="s">
        <v>64</v>
      </c>
      <c r="I8" s="7" t="s">
        <v>65</v>
      </c>
      <c r="J8" s="7" t="s">
        <v>66</v>
      </c>
      <c r="K8" s="6" t="s">
        <v>11</v>
      </c>
    </row>
    <row r="9" customFormat="false" ht="23.85" hidden="false" customHeight="false" outlineLevel="0" collapsed="false">
      <c r="A9" s="6" t="s">
        <v>67</v>
      </c>
      <c r="B9" s="6" t="s">
        <v>61</v>
      </c>
      <c r="C9" s="6" t="s">
        <v>62</v>
      </c>
      <c r="D9" s="6" t="s">
        <v>6</v>
      </c>
      <c r="E9" s="6" t="s">
        <v>15</v>
      </c>
      <c r="F9" s="7" t="s">
        <v>68</v>
      </c>
      <c r="G9" s="7" t="s">
        <v>33</v>
      </c>
      <c r="H9" s="7" t="s">
        <v>69</v>
      </c>
      <c r="I9" s="7" t="s">
        <v>70</v>
      </c>
      <c r="J9" s="7" t="s">
        <v>71</v>
      </c>
      <c r="K9" s="6" t="s">
        <v>12</v>
      </c>
    </row>
    <row r="10" customFormat="false" ht="23.85" hidden="false" customHeight="false" outlineLevel="0" collapsed="false">
      <c r="A10" s="6" t="s">
        <v>72</v>
      </c>
      <c r="B10" s="6" t="s">
        <v>73</v>
      </c>
      <c r="C10" s="6" t="s">
        <v>62</v>
      </c>
      <c r="D10" s="6" t="s">
        <v>6</v>
      </c>
      <c r="E10" s="6" t="s">
        <v>16</v>
      </c>
      <c r="F10" s="7" t="s">
        <v>74</v>
      </c>
      <c r="G10" s="7" t="s">
        <v>33</v>
      </c>
      <c r="H10" s="7" t="s">
        <v>75</v>
      </c>
      <c r="I10" s="7" t="s">
        <v>76</v>
      </c>
      <c r="J10" s="7" t="s">
        <v>77</v>
      </c>
      <c r="K10" s="6" t="s">
        <v>11</v>
      </c>
    </row>
    <row r="11" customFormat="false" ht="23.85" hidden="false" customHeight="false" outlineLevel="0" collapsed="false">
      <c r="A11" s="6" t="s">
        <v>78</v>
      </c>
      <c r="B11" s="6" t="s">
        <v>73</v>
      </c>
      <c r="C11" s="6" t="s">
        <v>62</v>
      </c>
      <c r="D11" s="6" t="s">
        <v>6</v>
      </c>
      <c r="E11" s="6" t="s">
        <v>16</v>
      </c>
      <c r="F11" s="7" t="s">
        <v>79</v>
      </c>
      <c r="G11" s="7" t="s">
        <v>33</v>
      </c>
      <c r="H11" s="7" t="s">
        <v>80</v>
      </c>
      <c r="I11" s="7" t="s">
        <v>81</v>
      </c>
      <c r="J11" s="7" t="s">
        <v>77</v>
      </c>
      <c r="K11" s="6" t="s">
        <v>11</v>
      </c>
    </row>
    <row r="12" customFormat="false" ht="23.85" hidden="false" customHeight="false" outlineLevel="0" collapsed="false">
      <c r="A12" s="6" t="s">
        <v>82</v>
      </c>
      <c r="B12" s="6" t="s">
        <v>73</v>
      </c>
      <c r="C12" s="6" t="s">
        <v>83</v>
      </c>
      <c r="D12" s="6" t="s">
        <v>6</v>
      </c>
      <c r="E12" s="6" t="s">
        <v>16</v>
      </c>
      <c r="F12" s="7" t="s">
        <v>84</v>
      </c>
      <c r="G12" s="7" t="s">
        <v>33</v>
      </c>
      <c r="H12" s="7" t="s">
        <v>85</v>
      </c>
      <c r="I12" s="7" t="s">
        <v>86</v>
      </c>
      <c r="J12" s="7" t="s">
        <v>87</v>
      </c>
      <c r="K12" s="6" t="s">
        <v>11</v>
      </c>
    </row>
    <row r="13" customFormat="false" ht="23.85" hidden="false" customHeight="false" outlineLevel="0" collapsed="false">
      <c r="A13" s="6" t="s">
        <v>88</v>
      </c>
      <c r="B13" s="6" t="s">
        <v>73</v>
      </c>
      <c r="C13" s="6" t="s">
        <v>83</v>
      </c>
      <c r="D13" s="6" t="s">
        <v>6</v>
      </c>
      <c r="E13" s="6" t="s">
        <v>16</v>
      </c>
      <c r="F13" s="7" t="s">
        <v>89</v>
      </c>
      <c r="G13" s="7" t="s">
        <v>33</v>
      </c>
      <c r="H13" s="7" t="s">
        <v>90</v>
      </c>
      <c r="I13" s="7" t="s">
        <v>91</v>
      </c>
      <c r="J13" s="7" t="s">
        <v>92</v>
      </c>
      <c r="K13" s="6" t="s">
        <v>12</v>
      </c>
    </row>
    <row r="14" customFormat="false" ht="23.85" hidden="false" customHeight="false" outlineLevel="0" collapsed="false">
      <c r="A14" s="6" t="s">
        <v>93</v>
      </c>
      <c r="B14" s="6" t="s">
        <v>73</v>
      </c>
      <c r="C14" s="6" t="s">
        <v>83</v>
      </c>
      <c r="D14" s="6" t="s">
        <v>6</v>
      </c>
      <c r="E14" s="6" t="s">
        <v>16</v>
      </c>
      <c r="F14" s="7" t="s">
        <v>94</v>
      </c>
      <c r="G14" s="7" t="s">
        <v>33</v>
      </c>
      <c r="H14" s="7" t="s">
        <v>95</v>
      </c>
      <c r="I14" s="7" t="s">
        <v>96</v>
      </c>
      <c r="J14" s="7" t="s">
        <v>92</v>
      </c>
      <c r="K14" s="6" t="s">
        <v>12</v>
      </c>
    </row>
    <row r="15" customFormat="false" ht="23.85" hidden="false" customHeight="false" outlineLevel="0" collapsed="false">
      <c r="A15" s="6" t="s">
        <v>97</v>
      </c>
      <c r="B15" s="6" t="s">
        <v>73</v>
      </c>
      <c r="C15" s="6" t="s">
        <v>83</v>
      </c>
      <c r="D15" s="6" t="s">
        <v>6</v>
      </c>
      <c r="E15" s="6" t="s">
        <v>16</v>
      </c>
      <c r="F15" s="7" t="s">
        <v>98</v>
      </c>
      <c r="G15" s="7" t="s">
        <v>33</v>
      </c>
      <c r="H15" s="7" t="s">
        <v>99</v>
      </c>
      <c r="I15" s="7" t="s">
        <v>100</v>
      </c>
      <c r="J15" s="7" t="s">
        <v>101</v>
      </c>
      <c r="K15" s="6" t="s">
        <v>11</v>
      </c>
    </row>
    <row r="16" customFormat="false" ht="23.85" hidden="false" customHeight="false" outlineLevel="0" collapsed="false">
      <c r="A16" s="6" t="s">
        <v>102</v>
      </c>
      <c r="B16" s="6" t="s">
        <v>73</v>
      </c>
      <c r="C16" s="6" t="s">
        <v>83</v>
      </c>
      <c r="D16" s="6" t="s">
        <v>6</v>
      </c>
      <c r="E16" s="6" t="s">
        <v>16</v>
      </c>
      <c r="F16" s="7" t="s">
        <v>103</v>
      </c>
      <c r="G16" s="7" t="s">
        <v>33</v>
      </c>
      <c r="H16" s="7" t="s">
        <v>104</v>
      </c>
      <c r="I16" s="7" t="s">
        <v>105</v>
      </c>
      <c r="J16" s="7" t="s">
        <v>106</v>
      </c>
      <c r="K16" s="6" t="s">
        <v>12</v>
      </c>
    </row>
    <row r="17" customFormat="false" ht="23.85" hidden="false" customHeight="false" outlineLevel="0" collapsed="false">
      <c r="A17" s="6" t="s">
        <v>107</v>
      </c>
      <c r="B17" s="6" t="s">
        <v>73</v>
      </c>
      <c r="C17" s="6" t="s">
        <v>62</v>
      </c>
      <c r="D17" s="6" t="s">
        <v>6</v>
      </c>
      <c r="E17" s="6" t="s">
        <v>16</v>
      </c>
      <c r="F17" s="7" t="s">
        <v>108</v>
      </c>
      <c r="G17" s="7" t="s">
        <v>33</v>
      </c>
      <c r="H17" s="7" t="s">
        <v>109</v>
      </c>
      <c r="I17" s="7" t="s">
        <v>59</v>
      </c>
      <c r="J17" s="7" t="s">
        <v>110</v>
      </c>
      <c r="K17" s="6" t="s">
        <v>12</v>
      </c>
    </row>
    <row r="18" customFormat="false" ht="35.05" hidden="false" customHeight="false" outlineLevel="0" collapsed="false">
      <c r="A18" s="6" t="s">
        <v>111</v>
      </c>
      <c r="B18" s="6" t="s">
        <v>73</v>
      </c>
      <c r="C18" s="6" t="s">
        <v>62</v>
      </c>
      <c r="D18" s="6" t="s">
        <v>6</v>
      </c>
      <c r="E18" s="6" t="s">
        <v>16</v>
      </c>
      <c r="F18" s="7" t="s">
        <v>112</v>
      </c>
      <c r="G18" s="7" t="s">
        <v>33</v>
      </c>
      <c r="H18" s="7" t="s">
        <v>113</v>
      </c>
      <c r="I18" s="7" t="s">
        <v>114</v>
      </c>
      <c r="J18" s="7" t="s">
        <v>115</v>
      </c>
      <c r="K18" s="6" t="s">
        <v>13</v>
      </c>
    </row>
    <row r="19" customFormat="false" ht="23.85" hidden="false" customHeight="false" outlineLevel="0" collapsed="false">
      <c r="A19" s="6" t="s">
        <v>116</v>
      </c>
      <c r="B19" s="6" t="s">
        <v>117</v>
      </c>
      <c r="C19" s="6" t="s">
        <v>118</v>
      </c>
      <c r="D19" s="6" t="s">
        <v>6</v>
      </c>
      <c r="E19" s="6" t="s">
        <v>15</v>
      </c>
      <c r="F19" s="7" t="s">
        <v>119</v>
      </c>
      <c r="G19" s="7" t="s">
        <v>120</v>
      </c>
      <c r="H19" s="7" t="s">
        <v>121</v>
      </c>
      <c r="I19" s="7" t="s">
        <v>122</v>
      </c>
      <c r="J19" s="7" t="s">
        <v>123</v>
      </c>
      <c r="K19" s="6" t="s">
        <v>11</v>
      </c>
    </row>
    <row r="20" customFormat="false" ht="23.85" hidden="false" customHeight="false" outlineLevel="0" collapsed="false">
      <c r="A20" s="6" t="s">
        <v>124</v>
      </c>
      <c r="B20" s="6" t="s">
        <v>125</v>
      </c>
      <c r="C20" s="6" t="s">
        <v>118</v>
      </c>
      <c r="D20" s="6" t="s">
        <v>6</v>
      </c>
      <c r="E20" s="6" t="s">
        <v>16</v>
      </c>
      <c r="F20" s="7" t="s">
        <v>126</v>
      </c>
      <c r="G20" s="7" t="s">
        <v>33</v>
      </c>
      <c r="H20" s="7" t="s">
        <v>127</v>
      </c>
      <c r="I20" s="7" t="s">
        <v>128</v>
      </c>
      <c r="J20" s="7" t="s">
        <v>129</v>
      </c>
      <c r="K20" s="6" t="s">
        <v>12</v>
      </c>
    </row>
    <row r="21" customFormat="false" ht="23.85" hidden="false" customHeight="false" outlineLevel="0" collapsed="false">
      <c r="A21" s="6" t="s">
        <v>130</v>
      </c>
      <c r="B21" s="6" t="s">
        <v>125</v>
      </c>
      <c r="C21" s="6" t="s">
        <v>118</v>
      </c>
      <c r="D21" s="6" t="s">
        <v>6</v>
      </c>
      <c r="E21" s="6" t="s">
        <v>16</v>
      </c>
      <c r="F21" s="7" t="s">
        <v>131</v>
      </c>
      <c r="G21" s="7" t="s">
        <v>33</v>
      </c>
      <c r="H21" s="7" t="s">
        <v>132</v>
      </c>
      <c r="I21" s="7" t="s">
        <v>133</v>
      </c>
      <c r="J21" s="7" t="s">
        <v>134</v>
      </c>
      <c r="K21" s="6" t="s">
        <v>13</v>
      </c>
    </row>
    <row r="22" customFormat="false" ht="23.85" hidden="false" customHeight="false" outlineLevel="0" collapsed="false">
      <c r="A22" s="6" t="s">
        <v>135</v>
      </c>
      <c r="B22" s="6" t="s">
        <v>136</v>
      </c>
      <c r="C22" s="6" t="s">
        <v>137</v>
      </c>
      <c r="D22" s="6" t="s">
        <v>6</v>
      </c>
      <c r="E22" s="6" t="s">
        <v>15</v>
      </c>
      <c r="F22" s="7" t="s">
        <v>138</v>
      </c>
      <c r="G22" s="7" t="s">
        <v>139</v>
      </c>
      <c r="H22" s="7" t="s">
        <v>140</v>
      </c>
      <c r="I22" s="7" t="s">
        <v>141</v>
      </c>
      <c r="J22" s="7" t="s">
        <v>142</v>
      </c>
      <c r="K22" s="6" t="s">
        <v>12</v>
      </c>
    </row>
    <row r="23" customFormat="false" ht="23.85" hidden="false" customHeight="false" outlineLevel="0" collapsed="false">
      <c r="A23" s="6" t="s">
        <v>143</v>
      </c>
      <c r="B23" s="6" t="s">
        <v>136</v>
      </c>
      <c r="C23" s="6" t="s">
        <v>137</v>
      </c>
      <c r="D23" s="6" t="s">
        <v>6</v>
      </c>
      <c r="E23" s="6" t="s">
        <v>15</v>
      </c>
      <c r="F23" s="7" t="s">
        <v>144</v>
      </c>
      <c r="G23" s="7" t="s">
        <v>145</v>
      </c>
      <c r="H23" s="7" t="s">
        <v>146</v>
      </c>
      <c r="I23" s="7" t="s">
        <v>147</v>
      </c>
      <c r="J23" s="7" t="s">
        <v>148</v>
      </c>
      <c r="K23" s="6" t="s">
        <v>12</v>
      </c>
    </row>
    <row r="24" customFormat="false" ht="23.85" hidden="false" customHeight="false" outlineLevel="0" collapsed="false">
      <c r="A24" s="6" t="s">
        <v>149</v>
      </c>
      <c r="B24" s="6" t="s">
        <v>136</v>
      </c>
      <c r="C24" s="6" t="s">
        <v>137</v>
      </c>
      <c r="D24" s="6" t="s">
        <v>6</v>
      </c>
      <c r="E24" s="6" t="s">
        <v>15</v>
      </c>
      <c r="F24" s="7" t="s">
        <v>150</v>
      </c>
      <c r="G24" s="7" t="s">
        <v>151</v>
      </c>
      <c r="H24" s="7" t="s">
        <v>152</v>
      </c>
      <c r="I24" s="7" t="s">
        <v>153</v>
      </c>
      <c r="J24" s="7" t="s">
        <v>154</v>
      </c>
      <c r="K24" s="6" t="s">
        <v>12</v>
      </c>
    </row>
    <row r="25" customFormat="false" ht="23.85" hidden="false" customHeight="false" outlineLevel="0" collapsed="false">
      <c r="A25" s="6" t="s">
        <v>155</v>
      </c>
      <c r="B25" s="6" t="s">
        <v>136</v>
      </c>
      <c r="C25" s="6" t="s">
        <v>137</v>
      </c>
      <c r="D25" s="6" t="s">
        <v>6</v>
      </c>
      <c r="E25" s="6" t="s">
        <v>15</v>
      </c>
      <c r="F25" s="7" t="s">
        <v>156</v>
      </c>
      <c r="G25" s="7" t="s">
        <v>157</v>
      </c>
      <c r="H25" s="7" t="s">
        <v>158</v>
      </c>
      <c r="I25" s="7" t="s">
        <v>159</v>
      </c>
      <c r="J25" s="7" t="s">
        <v>160</v>
      </c>
      <c r="K25" s="6" t="s">
        <v>13</v>
      </c>
    </row>
    <row r="26" customFormat="false" ht="35.05" hidden="false" customHeight="false" outlineLevel="0" collapsed="false">
      <c r="A26" s="6" t="s">
        <v>161</v>
      </c>
      <c r="B26" s="6" t="s">
        <v>162</v>
      </c>
      <c r="C26" s="6" t="s">
        <v>137</v>
      </c>
      <c r="D26" s="6" t="s">
        <v>6</v>
      </c>
      <c r="E26" s="6" t="s">
        <v>15</v>
      </c>
      <c r="F26" s="7" t="s">
        <v>163</v>
      </c>
      <c r="G26" s="7" t="s">
        <v>164</v>
      </c>
      <c r="H26" s="7" t="s">
        <v>165</v>
      </c>
      <c r="I26" s="7" t="s">
        <v>166</v>
      </c>
      <c r="J26" s="7" t="s">
        <v>167</v>
      </c>
      <c r="K26" s="6" t="s">
        <v>12</v>
      </c>
    </row>
    <row r="27" customFormat="false" ht="35.05" hidden="false" customHeight="false" outlineLevel="0" collapsed="false">
      <c r="A27" s="6" t="s">
        <v>168</v>
      </c>
      <c r="B27" s="6" t="s">
        <v>162</v>
      </c>
      <c r="C27" s="6" t="s">
        <v>137</v>
      </c>
      <c r="D27" s="6" t="s">
        <v>6</v>
      </c>
      <c r="E27" s="6" t="s">
        <v>15</v>
      </c>
      <c r="F27" s="7" t="s">
        <v>169</v>
      </c>
      <c r="G27" s="7" t="s">
        <v>170</v>
      </c>
      <c r="H27" s="7" t="s">
        <v>171</v>
      </c>
      <c r="I27" s="7" t="s">
        <v>172</v>
      </c>
      <c r="J27" s="7" t="s">
        <v>173</v>
      </c>
      <c r="K27" s="6" t="s">
        <v>12</v>
      </c>
    </row>
    <row r="28" customFormat="false" ht="23.85" hidden="false" customHeight="false" outlineLevel="0" collapsed="false">
      <c r="A28" s="6" t="s">
        <v>174</v>
      </c>
      <c r="B28" s="6" t="s">
        <v>162</v>
      </c>
      <c r="C28" s="6" t="s">
        <v>137</v>
      </c>
      <c r="D28" s="6" t="s">
        <v>6</v>
      </c>
      <c r="E28" s="6" t="s">
        <v>16</v>
      </c>
      <c r="F28" s="7" t="s">
        <v>175</v>
      </c>
      <c r="G28" s="7" t="s">
        <v>33</v>
      </c>
      <c r="H28" s="7" t="s">
        <v>176</v>
      </c>
      <c r="I28" s="7" t="s">
        <v>177</v>
      </c>
      <c r="J28" s="7" t="s">
        <v>178</v>
      </c>
      <c r="K28" s="6" t="s">
        <v>13</v>
      </c>
    </row>
    <row r="29" customFormat="false" ht="35.05" hidden="false" customHeight="false" outlineLevel="0" collapsed="false">
      <c r="A29" s="6" t="s">
        <v>179</v>
      </c>
      <c r="B29" s="6" t="s">
        <v>180</v>
      </c>
      <c r="C29" s="6" t="s">
        <v>181</v>
      </c>
      <c r="D29" s="6" t="s">
        <v>6</v>
      </c>
      <c r="E29" s="6" t="s">
        <v>15</v>
      </c>
      <c r="F29" s="7" t="s">
        <v>182</v>
      </c>
      <c r="G29" s="7" t="s">
        <v>183</v>
      </c>
      <c r="H29" s="7" t="s">
        <v>184</v>
      </c>
      <c r="I29" s="7" t="s">
        <v>185</v>
      </c>
      <c r="J29" s="7" t="s">
        <v>186</v>
      </c>
      <c r="K29" s="6" t="s">
        <v>11</v>
      </c>
    </row>
    <row r="30" customFormat="false" ht="23.85" hidden="false" customHeight="false" outlineLevel="0" collapsed="false">
      <c r="A30" s="6" t="s">
        <v>187</v>
      </c>
      <c r="B30" s="6" t="s">
        <v>188</v>
      </c>
      <c r="C30" s="6" t="s">
        <v>181</v>
      </c>
      <c r="D30" s="6" t="s">
        <v>6</v>
      </c>
      <c r="E30" s="6" t="s">
        <v>16</v>
      </c>
      <c r="F30" s="7" t="s">
        <v>189</v>
      </c>
      <c r="G30" s="7" t="s">
        <v>120</v>
      </c>
      <c r="H30" s="7" t="s">
        <v>190</v>
      </c>
      <c r="I30" s="7" t="s">
        <v>191</v>
      </c>
      <c r="J30" s="7" t="s">
        <v>192</v>
      </c>
      <c r="K30" s="6" t="s">
        <v>11</v>
      </c>
    </row>
    <row r="31" customFormat="false" ht="23.85" hidden="false" customHeight="false" outlineLevel="0" collapsed="false">
      <c r="A31" s="6" t="s">
        <v>193</v>
      </c>
      <c r="B31" s="6" t="s">
        <v>188</v>
      </c>
      <c r="C31" s="6" t="s">
        <v>181</v>
      </c>
      <c r="D31" s="6" t="s">
        <v>6</v>
      </c>
      <c r="E31" s="6" t="s">
        <v>16</v>
      </c>
      <c r="F31" s="7" t="s">
        <v>194</v>
      </c>
      <c r="G31" s="7" t="s">
        <v>120</v>
      </c>
      <c r="H31" s="7" t="s">
        <v>195</v>
      </c>
      <c r="I31" s="7" t="s">
        <v>196</v>
      </c>
      <c r="J31" s="7" t="s">
        <v>192</v>
      </c>
      <c r="K31" s="6" t="s">
        <v>11</v>
      </c>
    </row>
    <row r="32" customFormat="false" ht="23.85" hidden="false" customHeight="false" outlineLevel="0" collapsed="false">
      <c r="A32" s="6" t="s">
        <v>197</v>
      </c>
      <c r="B32" s="6" t="s">
        <v>198</v>
      </c>
      <c r="C32" s="6" t="s">
        <v>181</v>
      </c>
      <c r="D32" s="6" t="s">
        <v>6</v>
      </c>
      <c r="E32" s="6" t="s">
        <v>16</v>
      </c>
      <c r="F32" s="7" t="s">
        <v>199</v>
      </c>
      <c r="G32" s="7" t="s">
        <v>200</v>
      </c>
      <c r="H32" s="7" t="s">
        <v>201</v>
      </c>
      <c r="I32" s="7" t="s">
        <v>128</v>
      </c>
      <c r="J32" s="7" t="s">
        <v>202</v>
      </c>
      <c r="K32" s="6" t="s">
        <v>12</v>
      </c>
    </row>
    <row r="33" customFormat="false" ht="23.85" hidden="false" customHeight="false" outlineLevel="0" collapsed="false">
      <c r="A33" s="6" t="s">
        <v>203</v>
      </c>
      <c r="B33" s="6" t="s">
        <v>198</v>
      </c>
      <c r="C33" s="6" t="s">
        <v>204</v>
      </c>
      <c r="D33" s="6" t="s">
        <v>6</v>
      </c>
      <c r="E33" s="6" t="s">
        <v>16</v>
      </c>
      <c r="F33" s="7" t="s">
        <v>205</v>
      </c>
      <c r="G33" s="7" t="s">
        <v>183</v>
      </c>
      <c r="H33" s="7" t="s">
        <v>206</v>
      </c>
      <c r="I33" s="7" t="s">
        <v>207</v>
      </c>
      <c r="J33" s="7" t="s">
        <v>208</v>
      </c>
      <c r="K33" s="6" t="s">
        <v>12</v>
      </c>
    </row>
    <row r="34" customFormat="false" ht="23.85" hidden="false" customHeight="false" outlineLevel="0" collapsed="false">
      <c r="A34" s="6" t="s">
        <v>209</v>
      </c>
      <c r="B34" s="6" t="s">
        <v>198</v>
      </c>
      <c r="C34" s="6" t="s">
        <v>204</v>
      </c>
      <c r="D34" s="6" t="s">
        <v>6</v>
      </c>
      <c r="E34" s="6" t="s">
        <v>16</v>
      </c>
      <c r="F34" s="7" t="s">
        <v>210</v>
      </c>
      <c r="G34" s="7" t="s">
        <v>183</v>
      </c>
      <c r="H34" s="7" t="s">
        <v>211</v>
      </c>
      <c r="I34" s="7" t="s">
        <v>212</v>
      </c>
      <c r="J34" s="7" t="s">
        <v>213</v>
      </c>
      <c r="K34" s="6" t="s">
        <v>12</v>
      </c>
    </row>
    <row r="35" customFormat="false" ht="23.85" hidden="false" customHeight="false" outlineLevel="0" collapsed="false">
      <c r="A35" s="6" t="s">
        <v>214</v>
      </c>
      <c r="B35" s="6" t="s">
        <v>215</v>
      </c>
      <c r="C35" s="6" t="s">
        <v>216</v>
      </c>
      <c r="D35" s="6" t="s">
        <v>6</v>
      </c>
      <c r="E35" s="6" t="s">
        <v>15</v>
      </c>
      <c r="F35" s="7" t="s">
        <v>217</v>
      </c>
      <c r="G35" s="7" t="s">
        <v>183</v>
      </c>
      <c r="H35" s="7" t="s">
        <v>218</v>
      </c>
      <c r="I35" s="7" t="s">
        <v>219</v>
      </c>
      <c r="J35" s="7" t="s">
        <v>220</v>
      </c>
      <c r="K35" s="6" t="s">
        <v>11</v>
      </c>
    </row>
    <row r="36" customFormat="false" ht="23.85" hidden="false" customHeight="false" outlineLevel="0" collapsed="false">
      <c r="A36" s="6" t="s">
        <v>221</v>
      </c>
      <c r="B36" s="6" t="s">
        <v>215</v>
      </c>
      <c r="C36" s="6" t="s">
        <v>216</v>
      </c>
      <c r="D36" s="6" t="s">
        <v>6</v>
      </c>
      <c r="E36" s="6" t="s">
        <v>15</v>
      </c>
      <c r="F36" s="7" t="s">
        <v>222</v>
      </c>
      <c r="G36" s="7" t="s">
        <v>183</v>
      </c>
      <c r="H36" s="7" t="s">
        <v>223</v>
      </c>
      <c r="I36" s="7" t="s">
        <v>224</v>
      </c>
      <c r="J36" s="7" t="s">
        <v>225</v>
      </c>
      <c r="K36" s="6" t="s">
        <v>12</v>
      </c>
    </row>
    <row r="37" customFormat="false" ht="23.85" hidden="false" customHeight="false" outlineLevel="0" collapsed="false">
      <c r="A37" s="6" t="s">
        <v>226</v>
      </c>
      <c r="B37" s="6" t="s">
        <v>215</v>
      </c>
      <c r="C37" s="6" t="s">
        <v>216</v>
      </c>
      <c r="D37" s="6" t="s">
        <v>6</v>
      </c>
      <c r="E37" s="6" t="s">
        <v>16</v>
      </c>
      <c r="F37" s="7" t="s">
        <v>227</v>
      </c>
      <c r="G37" s="7" t="s">
        <v>120</v>
      </c>
      <c r="H37" s="7" t="s">
        <v>228</v>
      </c>
      <c r="I37" s="7" t="s">
        <v>229</v>
      </c>
      <c r="J37" s="7" t="s">
        <v>192</v>
      </c>
      <c r="K37" s="6" t="s">
        <v>11</v>
      </c>
    </row>
    <row r="38" customFormat="false" ht="23.85" hidden="false" customHeight="false" outlineLevel="0" collapsed="false">
      <c r="A38" s="6" t="s">
        <v>230</v>
      </c>
      <c r="B38" s="6" t="s">
        <v>215</v>
      </c>
      <c r="C38" s="6" t="s">
        <v>216</v>
      </c>
      <c r="D38" s="6" t="s">
        <v>6</v>
      </c>
      <c r="E38" s="6" t="s">
        <v>16</v>
      </c>
      <c r="F38" s="7" t="s">
        <v>231</v>
      </c>
      <c r="G38" s="7" t="s">
        <v>183</v>
      </c>
      <c r="H38" s="7" t="s">
        <v>232</v>
      </c>
      <c r="I38" s="7" t="s">
        <v>59</v>
      </c>
      <c r="J38" s="7" t="s">
        <v>233</v>
      </c>
      <c r="K38" s="6" t="s">
        <v>13</v>
      </c>
    </row>
    <row r="39" customFormat="false" ht="23.85" hidden="false" customHeight="false" outlineLevel="0" collapsed="false">
      <c r="A39" s="6" t="s">
        <v>234</v>
      </c>
      <c r="B39" s="6" t="s">
        <v>235</v>
      </c>
      <c r="C39" s="6" t="s">
        <v>236</v>
      </c>
      <c r="D39" s="6" t="s">
        <v>6</v>
      </c>
      <c r="E39" s="6" t="s">
        <v>15</v>
      </c>
      <c r="F39" s="7" t="s">
        <v>237</v>
      </c>
      <c r="G39" s="7" t="s">
        <v>183</v>
      </c>
      <c r="H39" s="7" t="s">
        <v>238</v>
      </c>
      <c r="I39" s="7" t="s">
        <v>239</v>
      </c>
      <c r="J39" s="7" t="s">
        <v>240</v>
      </c>
      <c r="K39" s="6" t="s">
        <v>11</v>
      </c>
    </row>
    <row r="40" customFormat="false" ht="35.05" hidden="false" customHeight="false" outlineLevel="0" collapsed="false">
      <c r="A40" s="6" t="s">
        <v>241</v>
      </c>
      <c r="B40" s="6" t="s">
        <v>235</v>
      </c>
      <c r="C40" s="6" t="s">
        <v>236</v>
      </c>
      <c r="D40" s="6" t="s">
        <v>6</v>
      </c>
      <c r="E40" s="6" t="s">
        <v>15</v>
      </c>
      <c r="F40" s="7" t="s">
        <v>242</v>
      </c>
      <c r="G40" s="7" t="s">
        <v>243</v>
      </c>
      <c r="H40" s="7" t="s">
        <v>244</v>
      </c>
      <c r="I40" s="7" t="s">
        <v>245</v>
      </c>
      <c r="J40" s="7" t="s">
        <v>202</v>
      </c>
      <c r="K40" s="6" t="s">
        <v>11</v>
      </c>
    </row>
    <row r="41" customFormat="false" ht="23.85" hidden="false" customHeight="false" outlineLevel="0" collapsed="false">
      <c r="A41" s="6" t="s">
        <v>246</v>
      </c>
      <c r="B41" s="6" t="s">
        <v>247</v>
      </c>
      <c r="C41" s="6" t="s">
        <v>236</v>
      </c>
      <c r="D41" s="6" t="s">
        <v>6</v>
      </c>
      <c r="E41" s="6" t="s">
        <v>16</v>
      </c>
      <c r="F41" s="7" t="s">
        <v>248</v>
      </c>
      <c r="G41" s="7" t="s">
        <v>120</v>
      </c>
      <c r="H41" s="7" t="s">
        <v>249</v>
      </c>
      <c r="I41" s="7" t="s">
        <v>250</v>
      </c>
      <c r="J41" s="7" t="s">
        <v>251</v>
      </c>
      <c r="K41" s="6" t="s">
        <v>11</v>
      </c>
    </row>
    <row r="42" customFormat="false" ht="35.05" hidden="false" customHeight="false" outlineLevel="0" collapsed="false">
      <c r="A42" s="6" t="s">
        <v>252</v>
      </c>
      <c r="B42" s="6" t="s">
        <v>247</v>
      </c>
      <c r="C42" s="6" t="s">
        <v>236</v>
      </c>
      <c r="D42" s="6" t="s">
        <v>6</v>
      </c>
      <c r="E42" s="6" t="s">
        <v>16</v>
      </c>
      <c r="F42" s="7" t="s">
        <v>253</v>
      </c>
      <c r="G42" s="7" t="s">
        <v>183</v>
      </c>
      <c r="H42" s="7" t="s">
        <v>254</v>
      </c>
      <c r="I42" s="7" t="s">
        <v>255</v>
      </c>
      <c r="J42" s="7" t="s">
        <v>256</v>
      </c>
      <c r="K42" s="6" t="s">
        <v>11</v>
      </c>
    </row>
    <row r="43" customFormat="false" ht="23.85" hidden="false" customHeight="false" outlineLevel="0" collapsed="false">
      <c r="A43" s="6" t="s">
        <v>257</v>
      </c>
      <c r="B43" s="6" t="s">
        <v>258</v>
      </c>
      <c r="C43" s="6" t="s">
        <v>236</v>
      </c>
      <c r="D43" s="6" t="s">
        <v>6</v>
      </c>
      <c r="E43" s="6" t="s">
        <v>16</v>
      </c>
      <c r="F43" s="7" t="s">
        <v>259</v>
      </c>
      <c r="G43" s="7" t="s">
        <v>200</v>
      </c>
      <c r="H43" s="7" t="s">
        <v>260</v>
      </c>
      <c r="I43" s="7" t="s">
        <v>128</v>
      </c>
      <c r="J43" s="7" t="s">
        <v>202</v>
      </c>
      <c r="K43" s="6" t="s">
        <v>12</v>
      </c>
    </row>
    <row r="44" customFormat="false" ht="23.85" hidden="false" customHeight="false" outlineLevel="0" collapsed="false">
      <c r="A44" s="6" t="s">
        <v>261</v>
      </c>
      <c r="B44" s="6" t="s">
        <v>258</v>
      </c>
      <c r="C44" s="6" t="s">
        <v>236</v>
      </c>
      <c r="D44" s="6" t="s">
        <v>6</v>
      </c>
      <c r="E44" s="6" t="s">
        <v>15</v>
      </c>
      <c r="F44" s="7" t="s">
        <v>262</v>
      </c>
      <c r="G44" s="7" t="s">
        <v>183</v>
      </c>
      <c r="H44" s="7" t="s">
        <v>263</v>
      </c>
      <c r="I44" s="7" t="s">
        <v>239</v>
      </c>
      <c r="J44" s="7" t="s">
        <v>264</v>
      </c>
      <c r="K44" s="6" t="s">
        <v>13</v>
      </c>
    </row>
    <row r="45" customFormat="false" ht="35.05" hidden="false" customHeight="false" outlineLevel="0" collapsed="false">
      <c r="A45" s="6" t="s">
        <v>265</v>
      </c>
      <c r="B45" s="6" t="s">
        <v>266</v>
      </c>
      <c r="C45" s="6" t="s">
        <v>267</v>
      </c>
      <c r="D45" s="6" t="s">
        <v>7</v>
      </c>
      <c r="E45" s="6" t="s">
        <v>17</v>
      </c>
      <c r="F45" s="7" t="s">
        <v>268</v>
      </c>
      <c r="G45" s="7" t="s">
        <v>33</v>
      </c>
      <c r="H45" s="7" t="s">
        <v>269</v>
      </c>
      <c r="I45" s="7" t="s">
        <v>270</v>
      </c>
      <c r="J45" s="7" t="s">
        <v>271</v>
      </c>
      <c r="K45" s="6" t="s">
        <v>12</v>
      </c>
    </row>
    <row r="46" customFormat="false" ht="23.85" hidden="false" customHeight="false" outlineLevel="0" collapsed="false">
      <c r="A46" s="6" t="s">
        <v>272</v>
      </c>
      <c r="B46" s="6" t="s">
        <v>266</v>
      </c>
      <c r="C46" s="6" t="s">
        <v>267</v>
      </c>
      <c r="D46" s="6" t="s">
        <v>7</v>
      </c>
      <c r="E46" s="6" t="s">
        <v>17</v>
      </c>
      <c r="F46" s="7" t="s">
        <v>273</v>
      </c>
      <c r="G46" s="7" t="s">
        <v>33</v>
      </c>
      <c r="H46" s="7" t="s">
        <v>274</v>
      </c>
      <c r="I46" s="7" t="s">
        <v>275</v>
      </c>
      <c r="J46" s="7" t="s">
        <v>276</v>
      </c>
      <c r="K46" s="6" t="s">
        <v>13</v>
      </c>
    </row>
    <row r="47" customFormat="false" ht="23.85" hidden="false" customHeight="false" outlineLevel="0" collapsed="false">
      <c r="A47" s="6" t="s">
        <v>277</v>
      </c>
      <c r="B47" s="6" t="s">
        <v>266</v>
      </c>
      <c r="C47" s="6" t="s">
        <v>267</v>
      </c>
      <c r="D47" s="6" t="s">
        <v>7</v>
      </c>
      <c r="E47" s="6" t="s">
        <v>17</v>
      </c>
      <c r="F47" s="7" t="s">
        <v>278</v>
      </c>
      <c r="G47" s="7" t="s">
        <v>33</v>
      </c>
      <c r="H47" s="7" t="s">
        <v>279</v>
      </c>
      <c r="I47" s="7" t="s">
        <v>280</v>
      </c>
      <c r="J47" s="7" t="s">
        <v>281</v>
      </c>
      <c r="K47" s="6" t="s">
        <v>13</v>
      </c>
    </row>
    <row r="48" customFormat="false" ht="23.85" hidden="false" customHeight="false" outlineLevel="0" collapsed="false">
      <c r="A48" s="6" t="s">
        <v>282</v>
      </c>
      <c r="B48" s="6" t="s">
        <v>266</v>
      </c>
      <c r="C48" s="6" t="s">
        <v>267</v>
      </c>
      <c r="D48" s="6" t="s">
        <v>7</v>
      </c>
      <c r="E48" s="6" t="s">
        <v>16</v>
      </c>
      <c r="F48" s="7" t="s">
        <v>283</v>
      </c>
      <c r="G48" s="7" t="s">
        <v>33</v>
      </c>
      <c r="H48" s="7" t="s">
        <v>284</v>
      </c>
      <c r="I48" s="7" t="s">
        <v>285</v>
      </c>
      <c r="J48" s="7" t="s">
        <v>286</v>
      </c>
      <c r="K48" s="6" t="s">
        <v>12</v>
      </c>
    </row>
    <row r="49" customFormat="false" ht="23.85" hidden="false" customHeight="false" outlineLevel="0" collapsed="false">
      <c r="A49" s="6" t="s">
        <v>287</v>
      </c>
      <c r="B49" s="6" t="s">
        <v>288</v>
      </c>
      <c r="C49" s="6" t="s">
        <v>267</v>
      </c>
      <c r="D49" s="6" t="s">
        <v>7</v>
      </c>
      <c r="E49" s="6" t="s">
        <v>17</v>
      </c>
      <c r="F49" s="7" t="s">
        <v>289</v>
      </c>
      <c r="G49" s="7" t="s">
        <v>33</v>
      </c>
      <c r="H49" s="7" t="s">
        <v>290</v>
      </c>
      <c r="I49" s="7" t="s">
        <v>291</v>
      </c>
      <c r="J49" s="7" t="s">
        <v>292</v>
      </c>
      <c r="K49" s="6" t="s">
        <v>13</v>
      </c>
    </row>
    <row r="50" customFormat="false" ht="23.85" hidden="false" customHeight="false" outlineLevel="0" collapsed="false">
      <c r="A50" s="6" t="s">
        <v>293</v>
      </c>
      <c r="B50" s="6" t="s">
        <v>294</v>
      </c>
      <c r="C50" s="6" t="s">
        <v>295</v>
      </c>
      <c r="D50" s="6" t="s">
        <v>9</v>
      </c>
      <c r="E50" s="6" t="s">
        <v>15</v>
      </c>
      <c r="F50" s="7" t="s">
        <v>296</v>
      </c>
      <c r="G50" s="7" t="s">
        <v>33</v>
      </c>
      <c r="H50" s="7" t="s">
        <v>297</v>
      </c>
      <c r="I50" s="7" t="s">
        <v>141</v>
      </c>
      <c r="J50" s="7" t="s">
        <v>298</v>
      </c>
      <c r="K50" s="6" t="s">
        <v>13</v>
      </c>
    </row>
    <row r="51" customFormat="false" ht="57.45" hidden="false" customHeight="false" outlineLevel="0" collapsed="false">
      <c r="A51" s="6" t="s">
        <v>299</v>
      </c>
      <c r="B51" s="6" t="s">
        <v>61</v>
      </c>
      <c r="C51" s="6" t="s">
        <v>62</v>
      </c>
      <c r="D51" s="6" t="s">
        <v>6</v>
      </c>
      <c r="E51" s="6" t="s">
        <v>15</v>
      </c>
      <c r="F51" s="7" t="s">
        <v>300</v>
      </c>
      <c r="G51" s="7" t="s">
        <v>33</v>
      </c>
      <c r="H51" s="7" t="s">
        <v>301</v>
      </c>
      <c r="I51" s="7" t="s">
        <v>302</v>
      </c>
      <c r="J51" s="7" t="s">
        <v>303</v>
      </c>
      <c r="K51" s="6" t="s">
        <v>12</v>
      </c>
    </row>
    <row r="52" customFormat="false" ht="35.05" hidden="false" customHeight="false" outlineLevel="0" collapsed="false">
      <c r="A52" s="6" t="s">
        <v>304</v>
      </c>
      <c r="B52" s="6" t="s">
        <v>305</v>
      </c>
      <c r="C52" s="6" t="s">
        <v>306</v>
      </c>
      <c r="D52" s="6" t="s">
        <v>8</v>
      </c>
      <c r="E52" s="6" t="s">
        <v>15</v>
      </c>
      <c r="F52" s="7" t="s">
        <v>307</v>
      </c>
      <c r="G52" s="7" t="s">
        <v>139</v>
      </c>
      <c r="H52" s="7" t="s">
        <v>308</v>
      </c>
      <c r="I52" s="7" t="s">
        <v>309</v>
      </c>
      <c r="J52" s="7" t="s">
        <v>310</v>
      </c>
      <c r="K52" s="6" t="s">
        <v>13</v>
      </c>
    </row>
    <row r="53" customFormat="false" ht="79.85" hidden="false" customHeight="false" outlineLevel="0" collapsed="false">
      <c r="A53" s="6" t="s">
        <v>311</v>
      </c>
      <c r="B53" s="6" t="s">
        <v>312</v>
      </c>
      <c r="C53" s="6" t="s">
        <v>313</v>
      </c>
      <c r="D53" s="6" t="s">
        <v>6</v>
      </c>
      <c r="E53" s="6" t="s">
        <v>15</v>
      </c>
      <c r="F53" s="7" t="s">
        <v>314</v>
      </c>
      <c r="G53" s="7" t="s">
        <v>200</v>
      </c>
      <c r="H53" s="7" t="s">
        <v>315</v>
      </c>
      <c r="I53" s="7" t="s">
        <v>316</v>
      </c>
      <c r="J53" s="7" t="s">
        <v>317</v>
      </c>
      <c r="K53" s="6" t="s">
        <v>11</v>
      </c>
    </row>
  </sheetData>
  <autoFilter ref="A1:K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2026-09-28T01:53:48Z</dcterms:created>
  <dc:creator>openpyxl</dc:creator>
  <dc:description/>
  <dc:language>en-US</dc:language>
  <cp:lastModifiedBy/>
  <dcterms:modified xsi:type="dcterms:W3CDTF">2026-09-28T01:53:48Z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
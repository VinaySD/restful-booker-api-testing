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itro\Documents\GitHub\Restful-Booker-api-project\docs\test-design\"/>
    </mc:Choice>
  </mc:AlternateContent>
  <xr:revisionPtr revIDLastSave="0" documentId="13_ncr:1_{5D6B7C7B-BBEA-4DF4-A960-C35937625B42}" xr6:coauthVersionLast="47" xr6:coauthVersionMax="47" xr10:uidLastSave="{00000000-0000-0000-0000-000000000000}"/>
  <bookViews>
    <workbookView xWindow="-108" yWindow="-108" windowWidth="23256" windowHeight="12456" tabRatio="500" activeTab="1" xr2:uid="{00000000-000D-0000-FFFF-FFFF00000000}"/>
  </bookViews>
  <sheets>
    <sheet name="Summary" sheetId="1" r:id="rId1"/>
    <sheet name="Test Cases" sheetId="2" r:id="rId2"/>
  </sheets>
  <definedNames>
    <definedName name="_xlnm._FilterDatabase" localSheetId="1" hidden="1">'Test Cases'!$A$1:$M$53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23" i="1" l="1"/>
  <c r="B22" i="1"/>
  <c r="B21" i="1"/>
  <c r="B17" i="1"/>
  <c r="B16" i="1"/>
  <c r="B15" i="1"/>
  <c r="B11" i="1"/>
  <c r="B10" i="1"/>
  <c r="B9" i="1"/>
  <c r="B8" i="1"/>
  <c r="B7" i="1"/>
  <c r="B3" i="1"/>
</calcChain>
</file>

<file path=xl/sharedStrings.xml><?xml version="1.0" encoding="utf-8"?>
<sst xmlns="http://schemas.openxmlformats.org/spreadsheetml/2006/main" count="711" uniqueCount="371">
  <si>
    <t>Test Case Summary — Restful-Booker API Test Coverage</t>
  </si>
  <si>
    <t>Total Test Cases</t>
  </si>
  <si>
    <t>By Module</t>
  </si>
  <si>
    <t>Value</t>
  </si>
  <si>
    <t>Count</t>
  </si>
  <si>
    <t>Auth</t>
  </si>
  <si>
    <t>Booking CRUD</t>
  </si>
  <si>
    <t>Data Validation</t>
  </si>
  <si>
    <t>Non-Functional</t>
  </si>
  <si>
    <t>System Health</t>
  </si>
  <si>
    <t>By Priority</t>
  </si>
  <si>
    <t>High</t>
  </si>
  <si>
    <t>Medium</t>
  </si>
  <si>
    <t>Low</t>
  </si>
  <si>
    <t>By Type</t>
  </si>
  <si>
    <t>Positive</t>
  </si>
  <si>
    <t>Negative</t>
  </si>
  <si>
    <t>Boundary</t>
  </si>
  <si>
    <t>Test Case ID</t>
  </si>
  <si>
    <t>Scenario ID</t>
  </si>
  <si>
    <t>Requirement ID</t>
  </si>
  <si>
    <t>Module</t>
  </si>
  <si>
    <t>Type</t>
  </si>
  <si>
    <t>Title</t>
  </si>
  <si>
    <t>Preconditions</t>
  </si>
  <si>
    <t>Test Steps</t>
  </si>
  <si>
    <t>Test Data</t>
  </si>
  <si>
    <t>Expected Result</t>
  </si>
  <si>
    <t>Priority</t>
  </si>
  <si>
    <t>TC-001</t>
  </si>
  <si>
    <t>SCN-01</t>
  </si>
  <si>
    <t>US-01</t>
  </si>
  <si>
    <t>Authenticate with valid credentials</t>
  </si>
  <si>
    <t>None</t>
  </si>
  <si>
    <t>Send POST /auth with a valid username and password</t>
  </si>
  <si>
    <t>username: admin, password: (valid, per API docs)</t>
  </si>
  <si>
    <t>Response returns 200 OK with a non-empty token field</t>
  </si>
  <si>
    <t>TC-002</t>
  </si>
  <si>
    <t>SCN-02</t>
  </si>
  <si>
    <t>Authenticate with an incorrect password</t>
  </si>
  <si>
    <t>Send POST /auth with a valid username and an incorrect password</t>
  </si>
  <si>
    <t>username: admin, password: wrongpass123</t>
  </si>
  <si>
    <t>Response does not return a valid token</t>
  </si>
  <si>
    <t>TC-003</t>
  </si>
  <si>
    <t>Authenticate with an incorrect username</t>
  </si>
  <si>
    <t>Send POST /auth with an invalid username and a valid password</t>
  </si>
  <si>
    <t>username: notarealuser, password: (valid)</t>
  </si>
  <si>
    <t>TC-004</t>
  </si>
  <si>
    <t>Authenticate with a missing username</t>
  </si>
  <si>
    <t>Send POST /auth with only a password field</t>
  </si>
  <si>
    <t>{"password": "..."}</t>
  </si>
  <si>
    <t>TC-005</t>
  </si>
  <si>
    <t>Authenticate with a missing password</t>
  </si>
  <si>
    <t>Send POST /auth with only a username field</t>
  </si>
  <si>
    <t>{"username": "admin"}</t>
  </si>
  <si>
    <t>TC-006</t>
  </si>
  <si>
    <t>Authenticate with an empty request body</t>
  </si>
  <si>
    <t>Send POST /auth with an empty JSON body</t>
  </si>
  <si>
    <t>{}</t>
  </si>
  <si>
    <t>TC-007</t>
  </si>
  <si>
    <t>SCN-03</t>
  </si>
  <si>
    <t>US-02</t>
  </si>
  <si>
    <t>Create a booking with all valid fields</t>
  </si>
  <si>
    <t>Send POST /booking with a complete valid payload</t>
  </si>
  <si>
    <t>firstname, lastname, totalprice, depositpaid, bookingdates{checkin, checkout}, additionalneeds</t>
  </si>
  <si>
    <t>TC-008</t>
  </si>
  <si>
    <t>Create a booking without the optional additionalneeds field</t>
  </si>
  <si>
    <t>Send POST /booking omitting additionalneeds</t>
  </si>
  <si>
    <t>firstname, lastname, totalprice, depositpaid, bookingdates</t>
  </si>
  <si>
    <t>TC-009</t>
  </si>
  <si>
    <t>SCN-04</t>
  </si>
  <si>
    <t>Create a booking without firstname</t>
  </si>
  <si>
    <t>Send POST /booking with the firstname field omitted</t>
  </si>
  <si>
    <t>lastname, totalprice, depositpaid, bookingdates</t>
  </si>
  <si>
    <t>TC-010</t>
  </si>
  <si>
    <t>Create a booking without lastname</t>
  </si>
  <si>
    <t>Send POST /booking with the lastname field omitted</t>
  </si>
  <si>
    <t>firstname, totalprice, depositpaid, bookingdates</t>
  </si>
  <si>
    <t>TC-011</t>
  </si>
  <si>
    <t>US-02, US-08</t>
  </si>
  <si>
    <t>Create a booking with a negative total price</t>
  </si>
  <si>
    <t>Send POST /booking with totalprice set to a negative number</t>
  </si>
  <si>
    <t>totalprice: -100</t>
  </si>
  <si>
    <t>TC-012</t>
  </si>
  <si>
    <t>Create a booking with totalprice as a text string</t>
  </si>
  <si>
    <t>Send POST /booking with totalprice as a non-numeric string</t>
  </si>
  <si>
    <t>totalprice: "abc"</t>
  </si>
  <si>
    <t>Request is rejected due to invalid data type</t>
  </si>
  <si>
    <t>TC-013</t>
  </si>
  <si>
    <t>Create a booking with depositpaid as a non-boolean value</t>
  </si>
  <si>
    <t>Send POST /booking with depositpaid set to a non-boolean value</t>
  </si>
  <si>
    <t>depositpaid: "yes"</t>
  </si>
  <si>
    <t>TC-014</t>
  </si>
  <si>
    <t>Create a booking with an invalid checkin date format</t>
  </si>
  <si>
    <t>Send POST /booking with checkin in an invalid format</t>
  </si>
  <si>
    <t>checkin: "31-13-2026"</t>
  </si>
  <si>
    <t>TC-015</t>
  </si>
  <si>
    <t>Create a booking where checkout is before checkin</t>
  </si>
  <si>
    <t>Send POST /booking with checkout dated earlier than checkin</t>
  </si>
  <si>
    <t>checkin: 2026-12-10, checkout: 2026-12-05</t>
  </si>
  <si>
    <t>Request is rejected as an invalid date range</t>
  </si>
  <si>
    <t>TC-016</t>
  </si>
  <si>
    <t>Create a booking with an empty request body</t>
  </si>
  <si>
    <t>Send POST /booking with an empty JSON body</t>
  </si>
  <si>
    <t>TC-017</t>
  </si>
  <si>
    <t>Create a booking with an unexpected extra field</t>
  </si>
  <si>
    <t>Send POST /booking with a valid payload plus an extra, undocumented field</t>
  </si>
  <si>
    <t>valid payload + roomType: "deluxe"</t>
  </si>
  <si>
    <t>TC-018</t>
  </si>
  <si>
    <t>SCN-05</t>
  </si>
  <si>
    <t>US-03</t>
  </si>
  <si>
    <t>Retrieve an existing booking by ID</t>
  </si>
  <si>
    <t>A booking exists</t>
  </si>
  <si>
    <t>Send GET /booking/{id} using a known valid ID</t>
  </si>
  <si>
    <t>bookingid of the booking created during setup</t>
  </si>
  <si>
    <t>TC-019</t>
  </si>
  <si>
    <t>SCN-06</t>
  </si>
  <si>
    <t>Retrieve a booking using a non-existent ID</t>
  </si>
  <si>
    <t>Send GET /booking/999999</t>
  </si>
  <si>
    <t>id: 999999</t>
  </si>
  <si>
    <t>404 Not Found response</t>
  </si>
  <si>
    <t>TC-020</t>
  </si>
  <si>
    <t>Retrieve a booking using a non-numeric ID</t>
  </si>
  <si>
    <t>Send GET /booking/abc</t>
  </si>
  <si>
    <t>id: "abc"</t>
  </si>
  <si>
    <t>Request is rejected with an appropriate client error</t>
  </si>
  <si>
    <t>TC-021</t>
  </si>
  <si>
    <t>SCN-07</t>
  </si>
  <si>
    <t>US-04</t>
  </si>
  <si>
    <t>Retrieve all booking IDs with no filter</t>
  </si>
  <si>
    <t>At least one booking exists</t>
  </si>
  <si>
    <t>Send GET /booking</t>
  </si>
  <si>
    <t>none</t>
  </si>
  <si>
    <t>TC-022</t>
  </si>
  <si>
    <t>Filter bookings by firstname</t>
  </si>
  <si>
    <t>A booking with a known firstname exists</t>
  </si>
  <si>
    <t>Send GET /booking?firstname=Vinay</t>
  </si>
  <si>
    <t>firstname=Vinay</t>
  </si>
  <si>
    <t>Only bookings with that firstname are returned</t>
  </si>
  <si>
    <t>TC-023</t>
  </si>
  <si>
    <t>Filter bookings by lastname</t>
  </si>
  <si>
    <t>A booking with a known lastname exists</t>
  </si>
  <si>
    <t>Send GET /booking?lastname=Chaudhari</t>
  </si>
  <si>
    <t>lastname=Chaudhari</t>
  </si>
  <si>
    <t>Only bookings with that lastname are returned</t>
  </si>
  <si>
    <t>TC-024</t>
  </si>
  <si>
    <t>Filter bookings by firstname and lastname combined</t>
  </si>
  <si>
    <t>A matching booking exists</t>
  </si>
  <si>
    <t>Send GET /booking?firstname=Vinay&amp;lastname=Chaudhari</t>
  </si>
  <si>
    <t>firstname=Vinay, lastname=Chaudhari</t>
  </si>
  <si>
    <t>TC-025</t>
  </si>
  <si>
    <t>SCN-08</t>
  </si>
  <si>
    <t>Filter bookings by checkin date</t>
  </si>
  <si>
    <t>A booking with checkin 2026-12-01 exists</t>
  </si>
  <si>
    <t>Send GET /booking?checkin=2026-11-30</t>
  </si>
  <si>
    <t>checkin=2026-11-30</t>
  </si>
  <si>
    <t>TC-026</t>
  </si>
  <si>
    <t>Filter bookings by checkout date</t>
  </si>
  <si>
    <t>A booking with checkout 2026-12-10 exists</t>
  </si>
  <si>
    <t>Send GET /booking?checkout=2026-12-11</t>
  </si>
  <si>
    <t>checkout=2026-12-11</t>
  </si>
  <si>
    <t>TC-027</t>
  </si>
  <si>
    <t>Filter bookings by a name with no matches</t>
  </si>
  <si>
    <t>Send GET /booking?firstname=Zzzznotarealname</t>
  </si>
  <si>
    <t>firstname=Zzzznotarealname</t>
  </si>
  <si>
    <t>An empty list is returned, not an error</t>
  </si>
  <si>
    <t>TC-028</t>
  </si>
  <si>
    <t>SCN-09</t>
  </si>
  <si>
    <t>US-05</t>
  </si>
  <si>
    <t>Fully update a booking with a valid token</t>
  </si>
  <si>
    <t>A booking exists; valid token obtained</t>
  </si>
  <si>
    <t>Send PUT /booking/{id} with a complete valid payload and a valid token</t>
  </si>
  <si>
    <t>full updated payload</t>
  </si>
  <si>
    <t>TC-029</t>
  </si>
  <si>
    <t>SCN-10</t>
  </si>
  <si>
    <t>Fully update a booking without an auth token</t>
  </si>
  <si>
    <t>Send PUT /booking/{id} with a valid payload but no token</t>
  </si>
  <si>
    <t>full valid payload, no token</t>
  </si>
  <si>
    <t>Request is rejected (unauthorized)</t>
  </si>
  <si>
    <t>TC-030</t>
  </si>
  <si>
    <t>Fully update a booking with an invalid token</t>
  </si>
  <si>
    <t>Send PUT /booking/{id} with an invalid/garbage token</t>
  </si>
  <si>
    <t>full valid payload, token: "invalidtoken123"</t>
  </si>
  <si>
    <t>TC-031</t>
  </si>
  <si>
    <t>SCN-11</t>
  </si>
  <si>
    <t>Fully update a non-existent booking</t>
  </si>
  <si>
    <t>Valid token obtained</t>
  </si>
  <si>
    <t>Send PUT /booking/999999 with a valid payload and a valid token</t>
  </si>
  <si>
    <t>404 Not Found</t>
  </si>
  <si>
    <t>TC-032</t>
  </si>
  <si>
    <t>US-05, US-08</t>
  </si>
  <si>
    <t>Fully update a booking with a missing required field</t>
  </si>
  <si>
    <t>Send PUT /booking/{id} omitting the firstname field</t>
  </si>
  <si>
    <t>payload missing firstname</t>
  </si>
  <si>
    <t>Request is rejected due to a missing required field</t>
  </si>
  <si>
    <t>TC-033</t>
  </si>
  <si>
    <t>Fully update a booking with an invalid date format</t>
  </si>
  <si>
    <t>Send PUT /booking/{id} with checkin set to an invalid value</t>
  </si>
  <si>
    <t>checkin: "not-a-date"</t>
  </si>
  <si>
    <t>Request is rejected with a validation error</t>
  </si>
  <si>
    <t>TC-034</t>
  </si>
  <si>
    <t>SCN-12</t>
  </si>
  <si>
    <t>US-06</t>
  </si>
  <si>
    <t>Partially update only the firstname field</t>
  </si>
  <si>
    <t>Send PATCH /booking/{id} with only firstname in the body</t>
  </si>
  <si>
    <t>{"firstname": "NewName"}</t>
  </si>
  <si>
    <t>TC-035</t>
  </si>
  <si>
    <t>Partially update only the totalprice field</t>
  </si>
  <si>
    <t>Send PATCH /booking/{id} with only totalprice in the body</t>
  </si>
  <si>
    <t>{"totalprice": 500}</t>
  </si>
  <si>
    <t>TC-036</t>
  </si>
  <si>
    <t>Partially update a booking without an auth token</t>
  </si>
  <si>
    <t>Send PATCH /booking/{id} with a valid partial payload and no token</t>
  </si>
  <si>
    <t>{"firstname": "NoAuth"}, no token</t>
  </si>
  <si>
    <t>TC-037</t>
  </si>
  <si>
    <t>Partially update a booking with an empty body</t>
  </si>
  <si>
    <t>Send PATCH /booking/{id} with an empty JSON body</t>
  </si>
  <si>
    <t>TC-038</t>
  </si>
  <si>
    <t>SCN-13</t>
  </si>
  <si>
    <t>US-07</t>
  </si>
  <si>
    <t>Delete a booking with a valid token</t>
  </si>
  <si>
    <t>Send DELETE /booking/{id} with a valid token</t>
  </si>
  <si>
    <t>id, valid token</t>
  </si>
  <si>
    <t>The booking is deleted successfully</t>
  </si>
  <si>
    <t>TC-039</t>
  </si>
  <si>
    <t>Verify a deleted booking is no longer retrievable</t>
  </si>
  <si>
    <t>A booking has been created and then deleted</t>
  </si>
  <si>
    <t>Send GET /booking/{id} for the deleted ID</t>
  </si>
  <si>
    <t>id of the deleted booking</t>
  </si>
  <si>
    <t>TC-040</t>
  </si>
  <si>
    <t>SCN-14</t>
  </si>
  <si>
    <t>Delete a booking without an auth token</t>
  </si>
  <si>
    <t>Send DELETE /booking/{id} with no token</t>
  </si>
  <si>
    <t>id, no token</t>
  </si>
  <si>
    <t>TC-041</t>
  </si>
  <si>
    <t>id, token via Authorization header</t>
  </si>
  <si>
    <t>TC-042</t>
  </si>
  <si>
    <t>SCN-15</t>
  </si>
  <si>
    <t>Delete a non-existent booking</t>
  </si>
  <si>
    <t>Send DELETE /booking/999999 with a valid token</t>
  </si>
  <si>
    <t>TC-043</t>
  </si>
  <si>
    <t>Confirm the status code returned on a successful delete</t>
  </si>
  <si>
    <t>Send DELETE /booking/{id} with a valid token and inspect the status code</t>
  </si>
  <si>
    <t>Response returns 200 OK (or 204 No Content) to indicate success</t>
  </si>
  <si>
    <t>TC-044</t>
  </si>
  <si>
    <t>SCN-16</t>
  </si>
  <si>
    <t>US-08</t>
  </si>
  <si>
    <t>Create a booking with totalprice of 0</t>
  </si>
  <si>
    <t>Send POST /booking with totalprice set to 0</t>
  </si>
  <si>
    <t>totalprice: 0</t>
  </si>
  <si>
    <t>Behavior is consistent with business rules for a zero-price booking (accepted or explicitly rejected, not inconsistent)</t>
  </si>
  <si>
    <t>TC-045</t>
  </si>
  <si>
    <t>Create a booking with a very large totalprice</t>
  </si>
  <si>
    <t>Send POST /booking with a very large totalprice value</t>
  </si>
  <si>
    <t>totalprice: 999999999</t>
  </si>
  <si>
    <t>The value is handled without truncation or overflow errors</t>
  </si>
  <si>
    <t>TC-046</t>
  </si>
  <si>
    <t>Create a booking with a very long firstname</t>
  </si>
  <si>
    <t>Send POST /booking with a 300-character firstname</t>
  </si>
  <si>
    <t>firstname: 300 characters</t>
  </si>
  <si>
    <t>The value is either accepted in full or rejected with a clear length-validation error, not silently truncated</t>
  </si>
  <si>
    <t>TC-047</t>
  </si>
  <si>
    <t>Create a booking with special characters/script tags in firstname</t>
  </si>
  <si>
    <t>Send POST /booking with a script-tag string as firstname</t>
  </si>
  <si>
    <t>firstname: "&lt;script&gt;alert(1)&lt;/script&gt;"</t>
  </si>
  <si>
    <t>Input is safely stored/escaped and not executed or reflected unsanitized</t>
  </si>
  <si>
    <t>TC-048</t>
  </si>
  <si>
    <t>SCN-17</t>
  </si>
  <si>
    <t>Create a booking where checkin and checkout are the same date</t>
  </si>
  <si>
    <t>Send POST /booking with checkin equal to checkout</t>
  </si>
  <si>
    <t>checkin/checkout: 2026-12-05</t>
  </si>
  <si>
    <t>Behavior is consistent with business rules for a single-day stay (accepted or explicitly rejected)</t>
  </si>
  <si>
    <t>TC-049</t>
  </si>
  <si>
    <t>SCN-18</t>
  </si>
  <si>
    <t>US-09</t>
  </si>
  <si>
    <t>Confirm the health-check endpoint reports success</t>
  </si>
  <si>
    <t>Send GET /ping</t>
  </si>
  <si>
    <t>TC-050</t>
  </si>
  <si>
    <t>Validate the structure and data types of the Create Booking response</t>
  </si>
  <si>
    <t>Send POST /booking with a valid payload and inspect the full response schema</t>
  </si>
  <si>
    <t>valid payload</t>
  </si>
  <si>
    <t>Response contains bookingid (number) and a booking object with firstname/lastname (string), totalprice (number), depositpaid (boolean), and bookingdates (checkin/checkout as date strings) matching the submitted types</t>
  </si>
  <si>
    <t>TC-051</t>
  </si>
  <si>
    <t>SCN-19</t>
  </si>
  <si>
    <t>NFR-01</t>
  </si>
  <si>
    <t>Confirm booking retrieval responds within an acceptable time threshold</t>
  </si>
  <si>
    <t>Send GET /booking/{id} and measure the response time</t>
  </si>
  <si>
    <t>valid booking id</t>
  </si>
  <si>
    <t>Response is received in under 3 seconds, consistent with the threshold defined in the Test Plan</t>
  </si>
  <si>
    <t>TC-052</t>
  </si>
  <si>
    <t>SCN-20</t>
  </si>
  <si>
    <t>US-02, US-05, US-06, US-07</t>
  </si>
  <si>
    <t>Validate the full booking lifecycle end-to-end via chained requests</t>
  </si>
  <si>
    <t>In one flow: (1) create a booking and capture bookingid, (2) get the booking and verify it matches, (3) fully update it (PUT) and verify the change, (4) partially update one field (PATCH) and verify only that field changed, (5) delete the booking, (6) get the booking again</t>
  </si>
  <si>
    <t>full lifecycle payloads, chained bookingid</t>
  </si>
  <si>
    <t>Each step succeeds using data captured from the previous step, and the final GET confirms the booking no longer exists</t>
  </si>
  <si>
    <t>Actual Result</t>
  </si>
  <si>
    <t>Status</t>
  </si>
  <si>
    <t>Response given token and status code 200</t>
  </si>
  <si>
    <t>Pass</t>
  </si>
  <si>
    <t>Request is rejected and no token is returned</t>
  </si>
  <si>
    <t>Status code should be 200 OK and response includes a new bookingid and the submitted data unchanged</t>
  </si>
  <si>
    <t>Status code should be 200 OK and booking is created successfully</t>
  </si>
  <si>
    <t>Status code is 200 Ok status code and response boy is unchanged</t>
  </si>
  <si>
    <t>Reponse body return bad crendentails and no token returned</t>
  </si>
  <si>
    <t>Status code is 200 Ok status code and booking is created without additionalneeds</t>
  </si>
  <si>
    <t>Request is rejected with a client error and booking is not created</t>
  </si>
  <si>
    <t>Request is rejected and a negative price should not be accepted</t>
  </si>
  <si>
    <t>Fail</t>
  </si>
  <si>
    <t xml:space="preserve">Request is accepted with 200 OK and reponse body have string type text in total price. </t>
  </si>
  <si>
    <t>Request is accepted with 200 OK and reponse body have negative price.</t>
  </si>
  <si>
    <r>
      <t xml:space="preserve">Request is accepted with </t>
    </r>
    <r>
      <rPr>
        <sz val="10"/>
        <color theme="1"/>
        <rFont val="Arial Unicode MS"/>
      </rPr>
      <t>200 OK</t>
    </r>
    <r>
      <rPr>
        <sz val="10"/>
        <color theme="1"/>
        <rFont val="Calibri"/>
        <family val="2"/>
        <charset val="1"/>
      </rPr>
      <t xml:space="preserve">, and </t>
    </r>
    <r>
      <rPr>
        <sz val="10"/>
        <color theme="1"/>
        <rFont val="Arial Unicode MS"/>
      </rPr>
      <t>"yes"</t>
    </r>
    <r>
      <rPr>
        <sz val="10"/>
        <color theme="1"/>
        <rFont val="Calibri"/>
        <family val="2"/>
        <charset val="1"/>
      </rPr>
      <t xml:space="preserve"> is converted as </t>
    </r>
    <r>
      <rPr>
        <sz val="10"/>
        <color theme="1"/>
        <rFont val="Arial Unicode MS"/>
      </rPr>
      <t>true</t>
    </r>
    <r>
      <rPr>
        <sz val="10"/>
        <color theme="1"/>
        <rFont val="Calibri"/>
        <family val="2"/>
        <charset val="1"/>
      </rPr>
      <t>.</t>
    </r>
  </si>
  <si>
    <t>Request is rejected with a validation error and  booking is not created with corrupted date data</t>
  </si>
  <si>
    <t>Request is accepted with 200 OK, created the booking, and stored the check-in date as 0NaN-aN-aN.</t>
  </si>
  <si>
    <r>
      <t xml:space="preserve">Request is accepted with </t>
    </r>
    <r>
      <rPr>
        <sz val="10"/>
        <color theme="1"/>
        <rFont val="Arial Unicode MS"/>
      </rPr>
      <t>200 OK and created the booking even checkout being before check-in.</t>
    </r>
  </si>
  <si>
    <t>Request is rejected and booking is not created</t>
  </si>
  <si>
    <t>API returned 500 Internal Server Error for the empty request body. No booking was created.</t>
  </si>
  <si>
    <t xml:space="preserve"> </t>
  </si>
  <si>
    <t>API returned 500 Internal Server Error when firstname was omitted. No booking was created.</t>
  </si>
  <si>
    <t>API returned 500 Internal Server Error when lastname was omitted. No booking was created.</t>
  </si>
  <si>
    <t>The extra field is ignored and the booking is created with only recognized fields.</t>
  </si>
  <si>
    <r>
      <t xml:space="preserve">Request is accepted with </t>
    </r>
    <r>
      <rPr>
        <sz val="10"/>
        <color theme="1"/>
        <rFont val="Arial Unicode MS"/>
      </rPr>
      <t>200 OK</t>
    </r>
    <r>
      <rPr>
        <sz val="10"/>
        <color theme="1"/>
        <rFont val="Calibri"/>
        <family val="2"/>
        <charset val="1"/>
      </rPr>
      <t>, and booking is created without extra field</t>
    </r>
  </si>
  <si>
    <t>Status code should be 200 OK and  response body matches the created booking's data</t>
  </si>
  <si>
    <t>Request is accepted with 200 OK, and response body match with created booking data</t>
  </si>
  <si>
    <t>Request is rejected with "404 Not Found" status code</t>
  </si>
  <si>
    <t>Status code 200 OK and a list of booking IDs is returned</t>
  </si>
  <si>
    <t>API returned "404 Not Found" Status Code</t>
  </si>
  <si>
    <t>API Returned "200 OK" Status Code and response body have list of booking IDs</t>
  </si>
  <si>
    <t>API Returned "200 OK" Status Code and response body have "bookingid" of firstname</t>
  </si>
  <si>
    <t>API Returned "200 OK" Status Code and response body have "bookingid" of lastname</t>
  </si>
  <si>
    <t>Only the exact matching booking's are returned</t>
  </si>
  <si>
    <t xml:space="preserve">API Returned "200 OK" Status Code and response body have exact matching booking's id </t>
  </si>
  <si>
    <t>Only bookings with a checkin date on or after the given date are returned and the known booking is included</t>
  </si>
  <si>
    <t>Only bookings with a checkout date on or before the given date are returned and the known booking is included</t>
  </si>
  <si>
    <t>API Returned "200 OK" Status Code and response body have bookings with a checkin date on is returned</t>
  </si>
  <si>
    <t>API Returned "200 OK" Status Code and response body have bookings with a checkout date on is returned</t>
  </si>
  <si>
    <t>API Returned "200 OK" Status Code and response body have empty list</t>
  </si>
  <si>
    <t>Status Code should be 200 OK and response reflects the updated data</t>
  </si>
  <si>
    <t>A booking exists with valid token obtained</t>
  </si>
  <si>
    <t>API Returned "200 OK" Status Code and data is updated</t>
  </si>
  <si>
    <t xml:space="preserve">API Returned "403 Forbidden" and request is rejected </t>
  </si>
  <si>
    <t>API Returned "405 Method Not Allowed"</t>
  </si>
  <si>
    <t>API Returned "400 Bad Request" and request is rejected</t>
  </si>
  <si>
    <t>API Returned "403 Forbidden" and request is rejected with proper validation error</t>
  </si>
  <si>
    <t>Status code should be 200 OK and only firstname changes, all other fields remain as before</t>
  </si>
  <si>
    <t>Status code should be 200 OK and only totalprice changes, all other fields remain as before</t>
  </si>
  <si>
    <t>API Returned "200 OK" Status Code and first name is changed, other fields remain as before</t>
  </si>
  <si>
    <t>API Returned "200 OK" Status Code and total price is changed, other fields remain as before</t>
  </si>
  <si>
    <t>Request is request with "403 Forbidden" Status code</t>
  </si>
  <si>
    <t xml:space="preserve">Request is rejected, and the booking remains unchanged </t>
  </si>
  <si>
    <t xml:space="preserve">Request is rejected with "200 Ok" status code and the booking remains unchanged  </t>
  </si>
  <si>
    <t>Booking is deleted successfully with "201 Created" status code</t>
  </si>
  <si>
    <t>Status code is "404 Not Found"</t>
  </si>
  <si>
    <t>Request is rejected (unauthorized) and  booking is not deleted</t>
  </si>
  <si>
    <t>Request is rejected with "403 Forbidden" Status Code and no booking is deleted</t>
  </si>
  <si>
    <t>Reject booking deletion with a Bearer token</t>
  </si>
  <si>
    <t>Send DELETE /booking/{id} with Authorization: Bearer {token} and no token Cookie</t>
  </si>
  <si>
    <t>A booking exists and valid token obtained</t>
  </si>
  <si>
    <t>Status code should be 403 Forbidden and the booking is not deleted</t>
  </si>
  <si>
    <t>Status code is "403 Forbidden" and no booking is deleted</t>
  </si>
  <si>
    <t>API returned 201 Created after successfully deleting the booking.</t>
  </si>
  <si>
    <t>API returned 200 OK and successfully created the booking with totalprice: 0. The test passed.</t>
  </si>
  <si>
    <t>API returned 200 OK and successfully stored totalprice: 999999999 without truncation</t>
  </si>
  <si>
    <t>API returned 200 Ok, confirming the 300-character firstname was stored in full or the response met the test's acceptance criteria.</t>
  </si>
  <si>
    <t>API returned 200 OK and accepted the script-tag input.</t>
  </si>
  <si>
    <t>API returned 200 OK and successfully created the booking with the same check-in and check-out date (2026-12-05)</t>
  </si>
  <si>
    <t>Response returns 201 Created indicating the service is healthy</t>
  </si>
  <si>
    <t xml:space="preserve">AP retured 201 Created </t>
  </si>
  <si>
    <t>API returned 200 OK. The response contained a numeric bookingid and a booking object with the expected data types.</t>
  </si>
  <si>
    <t>Actual Result: API returned 200 OK in 1.17 seconds. The response time was within the 3-second threshold.</t>
  </si>
  <si>
    <t>t: Booking was successfully created, retrieved, fully updated (PUT), partially updated (PATCH), and deleted. The final GET request returned 404 Not Found, confirming the booking no longer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</si>
</sst>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3"/>
      <name val="Arial"/>
      <charset val="1"/>
    </font>
    <font>
      <b/>
      <sz val="10"/>
      <name val="Arial"/>
      <charset val="1"/>
    </font>
    <font>
      <sz val="10"/>
      <name val="Arial"/>
      <charset val="1"/>
    </font>
    <font>
      <b/>
      <sz val="10"/>
      <color rgb="FFFFFFFF"/>
      <name val="Calibri"/>
      <family val="2"/>
      <scheme val="minor"/>
    </font>
    <font>
      <sz val="10"/>
      <name val="Calibri"/>
      <family val="2"/>
      <scheme val="minor"/>
    </font>
    <font>
      <sz val="10"/>
      <color theme="1"/>
      <name val="Arial Unicode MS"/>
    </font>
    <font>
      <sz val="10"/>
      <color theme="1"/>
      <name val="Calibri"/>
      <family val="2"/>
      <charset val="1"/>
    </font>
  </fonts>
  <fills count="6">
    <fill>
      <patternFill patternType="none"/>
    </fill>
    <fill>
      <patternFill patternType="gray125"/>
    </fill>
    <fill>
      <patternFill patternType="solid">
        <fgColor rgb="FFD9E1F2"/>
        <bgColor rgb="FFD9D9D9"/>
      </patternFill>
    </fill>
    <fill>
      <patternFill patternType="solid">
        <fgColor rgb="FF1F4E78"/>
        <bgColor rgb="FF003366"/>
      </patternFill>
    </fill>
    <fill>
      <patternFill patternType="solid">
        <fgColor rgb="FF00B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2" fillId="2" borderId="0" xfId="0" applyFont="1" applyFill="1"/>
    <xf numFmtId="0" fontId="4" fillId="3" borderId="1" xfId="0" applyFont="1" applyFill="1" applyBorder="1" applyAlignment="1">
      <alignment horizontal="center" vertical="center" wrapText="1"/>
    </xf>
    <xf numFmtId="0" fontId="5" fillId="0" borderId="1" xfId="0" applyFont="1" applyBorder="1" applyAlignment="1">
      <alignment vertical="top"/>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7" fillId="0" borderId="0" xfId="0" applyFont="1" applyAlignment="1">
      <alignment vertical="top" wrapText="1"/>
    </xf>
    <xf numFmtId="0" fontId="1" fillId="0" borderId="0"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opLeftCell="A6" zoomScaleNormal="100" workbookViewId="0">
      <selection activeCell="B34" sqref="B34"/>
    </sheetView>
  </sheetViews>
  <sheetFormatPr defaultColWidth="8.6640625" defaultRowHeight="14.4" x14ac:dyDescent="0.3"/>
  <cols>
    <col min="1" max="1" width="22" customWidth="1"/>
    <col min="2" max="2" width="10" customWidth="1"/>
    <col min="3" max="3" width="37.109375" customWidth="1"/>
  </cols>
  <sheetData>
    <row r="1" spans="1:3" ht="16.8" x14ac:dyDescent="0.3">
      <c r="A1" s="10" t="s">
        <v>0</v>
      </c>
      <c r="B1" s="10"/>
      <c r="C1" s="10"/>
    </row>
    <row r="3" spans="1:3" x14ac:dyDescent="0.3">
      <c r="A3" s="1" t="s">
        <v>1</v>
      </c>
      <c r="B3" s="2">
        <f>COUNTA('Test Cases'!A2:A53)</f>
        <v>52</v>
      </c>
    </row>
    <row r="5" spans="1:3" x14ac:dyDescent="0.3">
      <c r="A5" s="1" t="s">
        <v>2</v>
      </c>
    </row>
    <row r="6" spans="1:3" x14ac:dyDescent="0.3">
      <c r="A6" s="3" t="s">
        <v>3</v>
      </c>
      <c r="B6" s="3" t="s">
        <v>4</v>
      </c>
    </row>
    <row r="7" spans="1:3" x14ac:dyDescent="0.3">
      <c r="A7" s="2" t="s">
        <v>5</v>
      </c>
      <c r="B7" s="2">
        <f>COUNTIF('Test Cases'!D2:D53,"Auth")</f>
        <v>6</v>
      </c>
    </row>
    <row r="8" spans="1:3" x14ac:dyDescent="0.3">
      <c r="A8" s="2" t="s">
        <v>6</v>
      </c>
      <c r="B8" s="2">
        <f>COUNTIF('Test Cases'!D2:D53,"Booking CRUD")</f>
        <v>39</v>
      </c>
    </row>
    <row r="9" spans="1:3" x14ac:dyDescent="0.3">
      <c r="A9" s="2" t="s">
        <v>7</v>
      </c>
      <c r="B9" s="2">
        <f>COUNTIF('Test Cases'!D2:D53,"Data Validation")</f>
        <v>5</v>
      </c>
    </row>
    <row r="10" spans="1:3" x14ac:dyDescent="0.3">
      <c r="A10" s="2" t="s">
        <v>8</v>
      </c>
      <c r="B10" s="2">
        <f>COUNTIF('Test Cases'!D2:D53,"Non-Functional")</f>
        <v>1</v>
      </c>
    </row>
    <row r="11" spans="1:3" x14ac:dyDescent="0.3">
      <c r="A11" s="2" t="s">
        <v>9</v>
      </c>
      <c r="B11" s="2">
        <f>COUNTIF('Test Cases'!D2:D53,"System Health")</f>
        <v>1</v>
      </c>
    </row>
    <row r="13" spans="1:3" x14ac:dyDescent="0.3">
      <c r="A13" s="1" t="s">
        <v>10</v>
      </c>
    </row>
    <row r="14" spans="1:3" x14ac:dyDescent="0.3">
      <c r="A14" s="3" t="s">
        <v>3</v>
      </c>
      <c r="B14" s="3" t="s">
        <v>4</v>
      </c>
    </row>
    <row r="15" spans="1:3" x14ac:dyDescent="0.3">
      <c r="A15" s="2" t="s">
        <v>11</v>
      </c>
      <c r="B15" s="2">
        <f>COUNTIF('Test Cases'!M2:M53,"High")</f>
        <v>18</v>
      </c>
    </row>
    <row r="16" spans="1:3" x14ac:dyDescent="0.3">
      <c r="A16" s="2" t="s">
        <v>12</v>
      </c>
      <c r="B16" s="2">
        <f>COUNTIF('Test Cases'!M2:M53,"Medium")</f>
        <v>22</v>
      </c>
    </row>
    <row r="17" spans="1:2" x14ac:dyDescent="0.3">
      <c r="A17" s="2" t="s">
        <v>13</v>
      </c>
      <c r="B17" s="2">
        <f>COUNTIF('Test Cases'!M2:M53,"Low")</f>
        <v>12</v>
      </c>
    </row>
    <row r="19" spans="1:2" x14ac:dyDescent="0.3">
      <c r="A19" s="1" t="s">
        <v>14</v>
      </c>
    </row>
    <row r="20" spans="1:2" x14ac:dyDescent="0.3">
      <c r="A20" s="3" t="s">
        <v>3</v>
      </c>
      <c r="B20" s="3" t="s">
        <v>4</v>
      </c>
    </row>
    <row r="21" spans="1:2" x14ac:dyDescent="0.3">
      <c r="A21" s="2" t="s">
        <v>15</v>
      </c>
      <c r="B21" s="2">
        <f>COUNTIF('Test Cases'!E2:E53,"Positive")</f>
        <v>20</v>
      </c>
    </row>
    <row r="22" spans="1:2" x14ac:dyDescent="0.3">
      <c r="A22" s="2" t="s">
        <v>16</v>
      </c>
      <c r="B22" s="2">
        <f>COUNTIF('Test Cases'!E2:E53,"Negative")</f>
        <v>28</v>
      </c>
    </row>
    <row r="23" spans="1:2" x14ac:dyDescent="0.3">
      <c r="A23" s="2" t="s">
        <v>17</v>
      </c>
      <c r="B23" s="2">
        <f>COUNTIF('Test Cases'!E2:E53,"Boundary")</f>
        <v>4</v>
      </c>
    </row>
  </sheetData>
  <mergeCells count="1">
    <mergeCell ref="A1:C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3"/>
  <sheetViews>
    <sheetView tabSelected="1" zoomScale="16" zoomScaleNormal="10" workbookViewId="0">
      <pane ySplit="1" topLeftCell="A2" activePane="bottomLeft" state="frozen"/>
      <selection pane="bottomLeft" activeCell="HE51" sqref="HE51"/>
    </sheetView>
  </sheetViews>
  <sheetFormatPr defaultColWidth="8.6640625" defaultRowHeight="70.05" customHeight="1" x14ac:dyDescent="0.3"/>
  <cols>
    <col min="1" max="2" width="11" customWidth="1"/>
    <col min="3" max="4" width="13" customWidth="1"/>
    <col min="5" max="5" width="10" customWidth="1"/>
    <col min="6" max="6" width="37.88671875" customWidth="1"/>
    <col min="7" max="7" width="20" customWidth="1"/>
    <col min="8" max="8" width="32" customWidth="1"/>
    <col min="9" max="9" width="26" customWidth="1"/>
    <col min="10" max="10" width="42" customWidth="1"/>
    <col min="11" max="11" width="46.6640625" customWidth="1"/>
    <col min="12" max="12" width="42" customWidth="1"/>
    <col min="13" max="13" width="9" customWidth="1"/>
  </cols>
  <sheetData>
    <row r="1" spans="1:13" ht="20.399999999999999" customHeight="1" x14ac:dyDescent="0.3">
      <c r="A1" s="4" t="s">
        <v>18</v>
      </c>
      <c r="B1" s="4" t="s">
        <v>19</v>
      </c>
      <c r="C1" s="4" t="s">
        <v>20</v>
      </c>
      <c r="D1" s="4" t="s">
        <v>21</v>
      </c>
      <c r="E1" s="4" t="s">
        <v>22</v>
      </c>
      <c r="F1" s="4" t="s">
        <v>23</v>
      </c>
      <c r="G1" s="4" t="s">
        <v>24</v>
      </c>
      <c r="H1" s="4" t="s">
        <v>25</v>
      </c>
      <c r="I1" s="4" t="s">
        <v>26</v>
      </c>
      <c r="J1" s="4" t="s">
        <v>27</v>
      </c>
      <c r="K1" s="4" t="s">
        <v>296</v>
      </c>
      <c r="L1" s="4" t="s">
        <v>297</v>
      </c>
      <c r="M1" s="4" t="s">
        <v>28</v>
      </c>
    </row>
    <row r="2" spans="1:13" ht="55.05" customHeight="1" x14ac:dyDescent="0.3">
      <c r="A2" s="5" t="s">
        <v>29</v>
      </c>
      <c r="B2" s="5" t="s">
        <v>30</v>
      </c>
      <c r="C2" s="5" t="s">
        <v>31</v>
      </c>
      <c r="D2" s="5" t="s">
        <v>5</v>
      </c>
      <c r="E2" s="5" t="s">
        <v>15</v>
      </c>
      <c r="F2" s="6" t="s">
        <v>32</v>
      </c>
      <c r="G2" s="6" t="s">
        <v>33</v>
      </c>
      <c r="H2" s="6" t="s">
        <v>34</v>
      </c>
      <c r="I2" s="6" t="s">
        <v>35</v>
      </c>
      <c r="J2" s="6" t="s">
        <v>36</v>
      </c>
      <c r="K2" s="6" t="s">
        <v>298</v>
      </c>
      <c r="L2" s="7" t="s">
        <v>299</v>
      </c>
      <c r="M2" s="5" t="s">
        <v>11</v>
      </c>
    </row>
    <row r="3" spans="1:13" ht="55.05" customHeight="1" x14ac:dyDescent="0.3">
      <c r="A3" s="5" t="s">
        <v>37</v>
      </c>
      <c r="B3" s="5" t="s">
        <v>38</v>
      </c>
      <c r="C3" s="5" t="s">
        <v>31</v>
      </c>
      <c r="D3" s="5" t="s">
        <v>5</v>
      </c>
      <c r="E3" s="5" t="s">
        <v>16</v>
      </c>
      <c r="F3" s="6" t="s">
        <v>39</v>
      </c>
      <c r="G3" s="6" t="s">
        <v>33</v>
      </c>
      <c r="H3" s="6" t="s">
        <v>40</v>
      </c>
      <c r="I3" s="6" t="s">
        <v>41</v>
      </c>
      <c r="J3" s="6" t="s">
        <v>42</v>
      </c>
      <c r="K3" s="6" t="s">
        <v>304</v>
      </c>
      <c r="L3" s="7" t="s">
        <v>299</v>
      </c>
      <c r="M3" s="5" t="s">
        <v>11</v>
      </c>
    </row>
    <row r="4" spans="1:13" ht="55.05" customHeight="1" x14ac:dyDescent="0.3">
      <c r="A4" s="5" t="s">
        <v>43</v>
      </c>
      <c r="B4" s="5" t="s">
        <v>38</v>
      </c>
      <c r="C4" s="5" t="s">
        <v>31</v>
      </c>
      <c r="D4" s="5" t="s">
        <v>5</v>
      </c>
      <c r="E4" s="5" t="s">
        <v>16</v>
      </c>
      <c r="F4" s="6" t="s">
        <v>44</v>
      </c>
      <c r="G4" s="6" t="s">
        <v>33</v>
      </c>
      <c r="H4" s="6" t="s">
        <v>45</v>
      </c>
      <c r="I4" s="6" t="s">
        <v>46</v>
      </c>
      <c r="J4" s="6" t="s">
        <v>42</v>
      </c>
      <c r="K4" s="6" t="s">
        <v>304</v>
      </c>
      <c r="L4" s="7" t="s">
        <v>299</v>
      </c>
      <c r="M4" s="5" t="s">
        <v>12</v>
      </c>
    </row>
    <row r="5" spans="1:13" ht="55.05" customHeight="1" x14ac:dyDescent="0.3">
      <c r="A5" s="5" t="s">
        <v>47</v>
      </c>
      <c r="B5" s="5" t="s">
        <v>38</v>
      </c>
      <c r="C5" s="5" t="s">
        <v>31</v>
      </c>
      <c r="D5" s="5" t="s">
        <v>5</v>
      </c>
      <c r="E5" s="5" t="s">
        <v>16</v>
      </c>
      <c r="F5" s="6" t="s">
        <v>48</v>
      </c>
      <c r="G5" s="6" t="s">
        <v>33</v>
      </c>
      <c r="H5" s="6" t="s">
        <v>49</v>
      </c>
      <c r="I5" s="6" t="s">
        <v>50</v>
      </c>
      <c r="J5" s="6" t="s">
        <v>300</v>
      </c>
      <c r="K5" s="6" t="s">
        <v>304</v>
      </c>
      <c r="L5" s="7" t="s">
        <v>299</v>
      </c>
      <c r="M5" s="5" t="s">
        <v>12</v>
      </c>
    </row>
    <row r="6" spans="1:13" ht="55.05" customHeight="1" x14ac:dyDescent="0.3">
      <c r="A6" s="5" t="s">
        <v>51</v>
      </c>
      <c r="B6" s="5" t="s">
        <v>38</v>
      </c>
      <c r="C6" s="5" t="s">
        <v>31</v>
      </c>
      <c r="D6" s="5" t="s">
        <v>5</v>
      </c>
      <c r="E6" s="5" t="s">
        <v>16</v>
      </c>
      <c r="F6" s="6" t="s">
        <v>52</v>
      </c>
      <c r="G6" s="6" t="s">
        <v>33</v>
      </c>
      <c r="H6" s="6" t="s">
        <v>53</v>
      </c>
      <c r="I6" s="6" t="s">
        <v>54</v>
      </c>
      <c r="J6" s="6" t="s">
        <v>300</v>
      </c>
      <c r="K6" s="6" t="s">
        <v>304</v>
      </c>
      <c r="L6" s="7" t="s">
        <v>299</v>
      </c>
      <c r="M6" s="5" t="s">
        <v>12</v>
      </c>
    </row>
    <row r="7" spans="1:13" ht="55.05" customHeight="1" x14ac:dyDescent="0.3">
      <c r="A7" s="5" t="s">
        <v>55</v>
      </c>
      <c r="B7" s="5" t="s">
        <v>38</v>
      </c>
      <c r="C7" s="5" t="s">
        <v>31</v>
      </c>
      <c r="D7" s="5" t="s">
        <v>5</v>
      </c>
      <c r="E7" s="5" t="s">
        <v>16</v>
      </c>
      <c r="F7" s="6" t="s">
        <v>56</v>
      </c>
      <c r="G7" s="6" t="s">
        <v>33</v>
      </c>
      <c r="H7" s="6" t="s">
        <v>57</v>
      </c>
      <c r="I7" s="6" t="s">
        <v>58</v>
      </c>
      <c r="J7" s="6" t="s">
        <v>300</v>
      </c>
      <c r="K7" s="6" t="s">
        <v>304</v>
      </c>
      <c r="L7" s="7" t="s">
        <v>299</v>
      </c>
      <c r="M7" s="5" t="s">
        <v>13</v>
      </c>
    </row>
    <row r="8" spans="1:13" ht="55.05" customHeight="1" x14ac:dyDescent="0.3">
      <c r="A8" s="5" t="s">
        <v>59</v>
      </c>
      <c r="B8" s="5" t="s">
        <v>60</v>
      </c>
      <c r="C8" s="5" t="s">
        <v>61</v>
      </c>
      <c r="D8" s="5" t="s">
        <v>6</v>
      </c>
      <c r="E8" s="5" t="s">
        <v>15</v>
      </c>
      <c r="F8" s="6" t="s">
        <v>62</v>
      </c>
      <c r="G8" s="6" t="s">
        <v>33</v>
      </c>
      <c r="H8" s="6" t="s">
        <v>63</v>
      </c>
      <c r="I8" s="6" t="s">
        <v>64</v>
      </c>
      <c r="J8" s="6" t="s">
        <v>301</v>
      </c>
      <c r="K8" s="6" t="s">
        <v>303</v>
      </c>
      <c r="L8" s="7" t="s">
        <v>299</v>
      </c>
      <c r="M8" s="5" t="s">
        <v>11</v>
      </c>
    </row>
    <row r="9" spans="1:13" ht="55.05" customHeight="1" x14ac:dyDescent="0.3">
      <c r="A9" s="5" t="s">
        <v>65</v>
      </c>
      <c r="B9" s="5" t="s">
        <v>60</v>
      </c>
      <c r="C9" s="5" t="s">
        <v>61</v>
      </c>
      <c r="D9" s="5" t="s">
        <v>6</v>
      </c>
      <c r="E9" s="5" t="s">
        <v>15</v>
      </c>
      <c r="F9" s="6" t="s">
        <v>66</v>
      </c>
      <c r="G9" s="6" t="s">
        <v>33</v>
      </c>
      <c r="H9" s="6" t="s">
        <v>67</v>
      </c>
      <c r="I9" s="6" t="s">
        <v>68</v>
      </c>
      <c r="J9" s="6" t="s">
        <v>302</v>
      </c>
      <c r="K9" s="6" t="s">
        <v>305</v>
      </c>
      <c r="L9" s="7" t="s">
        <v>299</v>
      </c>
      <c r="M9" s="5" t="s">
        <v>12</v>
      </c>
    </row>
    <row r="10" spans="1:13" ht="55.05" customHeight="1" x14ac:dyDescent="0.3">
      <c r="A10" s="5" t="s">
        <v>69</v>
      </c>
      <c r="B10" s="5" t="s">
        <v>70</v>
      </c>
      <c r="C10" s="5" t="s">
        <v>61</v>
      </c>
      <c r="D10" s="5" t="s">
        <v>6</v>
      </c>
      <c r="E10" s="5" t="s">
        <v>16</v>
      </c>
      <c r="F10" s="6" t="s">
        <v>71</v>
      </c>
      <c r="G10" s="6" t="s">
        <v>317</v>
      </c>
      <c r="H10" s="6" t="s">
        <v>72</v>
      </c>
      <c r="I10" s="6" t="s">
        <v>73</v>
      </c>
      <c r="J10" s="6" t="s">
        <v>306</v>
      </c>
      <c r="K10" s="6" t="s">
        <v>318</v>
      </c>
      <c r="L10" s="8" t="s">
        <v>308</v>
      </c>
      <c r="M10" s="5" t="s">
        <v>11</v>
      </c>
    </row>
    <row r="11" spans="1:13" ht="55.05" customHeight="1" x14ac:dyDescent="0.3">
      <c r="A11" s="5" t="s">
        <v>74</v>
      </c>
      <c r="B11" s="5" t="s">
        <v>70</v>
      </c>
      <c r="C11" s="5" t="s">
        <v>61</v>
      </c>
      <c r="D11" s="5" t="s">
        <v>6</v>
      </c>
      <c r="E11" s="5" t="s">
        <v>16</v>
      </c>
      <c r="F11" s="6" t="s">
        <v>75</v>
      </c>
      <c r="G11" s="6" t="s">
        <v>33</v>
      </c>
      <c r="H11" s="6" t="s">
        <v>76</v>
      </c>
      <c r="I11" s="6" t="s">
        <v>77</v>
      </c>
      <c r="J11" s="6" t="s">
        <v>306</v>
      </c>
      <c r="K11" s="6" t="s">
        <v>319</v>
      </c>
      <c r="L11" s="8" t="s">
        <v>308</v>
      </c>
      <c r="M11" s="5" t="s">
        <v>11</v>
      </c>
    </row>
    <row r="12" spans="1:13" ht="55.05" customHeight="1" x14ac:dyDescent="0.3">
      <c r="A12" s="5" t="s">
        <v>78</v>
      </c>
      <c r="B12" s="5" t="s">
        <v>70</v>
      </c>
      <c r="C12" s="5" t="s">
        <v>79</v>
      </c>
      <c r="D12" s="5" t="s">
        <v>6</v>
      </c>
      <c r="E12" s="5" t="s">
        <v>16</v>
      </c>
      <c r="F12" s="6" t="s">
        <v>80</v>
      </c>
      <c r="G12" s="6" t="s">
        <v>33</v>
      </c>
      <c r="H12" s="6" t="s">
        <v>81</v>
      </c>
      <c r="I12" s="6" t="s">
        <v>82</v>
      </c>
      <c r="J12" s="6" t="s">
        <v>307</v>
      </c>
      <c r="K12" s="6" t="s">
        <v>310</v>
      </c>
      <c r="L12" s="8" t="s">
        <v>308</v>
      </c>
      <c r="M12" s="5" t="s">
        <v>11</v>
      </c>
    </row>
    <row r="13" spans="1:13" ht="55.05" customHeight="1" x14ac:dyDescent="0.3">
      <c r="A13" s="5" t="s">
        <v>83</v>
      </c>
      <c r="B13" s="5" t="s">
        <v>70</v>
      </c>
      <c r="C13" s="5" t="s">
        <v>79</v>
      </c>
      <c r="D13" s="5" t="s">
        <v>6</v>
      </c>
      <c r="E13" s="5" t="s">
        <v>16</v>
      </c>
      <c r="F13" s="6" t="s">
        <v>84</v>
      </c>
      <c r="G13" s="6" t="s">
        <v>33</v>
      </c>
      <c r="H13" s="6" t="s">
        <v>85</v>
      </c>
      <c r="I13" s="6" t="s">
        <v>86</v>
      </c>
      <c r="J13" s="6" t="s">
        <v>87</v>
      </c>
      <c r="K13" s="6" t="s">
        <v>309</v>
      </c>
      <c r="L13" s="8" t="s">
        <v>308</v>
      </c>
      <c r="M13" s="5" t="s">
        <v>12</v>
      </c>
    </row>
    <row r="14" spans="1:13" ht="55.05" customHeight="1" x14ac:dyDescent="0.3">
      <c r="A14" s="5" t="s">
        <v>88</v>
      </c>
      <c r="B14" s="5" t="s">
        <v>70</v>
      </c>
      <c r="C14" s="5" t="s">
        <v>79</v>
      </c>
      <c r="D14" s="5" t="s">
        <v>6</v>
      </c>
      <c r="E14" s="5" t="s">
        <v>16</v>
      </c>
      <c r="F14" s="6" t="s">
        <v>89</v>
      </c>
      <c r="G14" s="6" t="s">
        <v>33</v>
      </c>
      <c r="H14" s="6" t="s">
        <v>90</v>
      </c>
      <c r="I14" s="6" t="s">
        <v>91</v>
      </c>
      <c r="J14" s="6" t="s">
        <v>87</v>
      </c>
      <c r="K14" s="9" t="s">
        <v>311</v>
      </c>
      <c r="L14" s="8" t="s">
        <v>308</v>
      </c>
      <c r="M14" s="5" t="s">
        <v>12</v>
      </c>
    </row>
    <row r="15" spans="1:13" ht="55.05" customHeight="1" x14ac:dyDescent="0.3">
      <c r="A15" s="5" t="s">
        <v>92</v>
      </c>
      <c r="B15" s="5" t="s">
        <v>70</v>
      </c>
      <c r="C15" s="5" t="s">
        <v>79</v>
      </c>
      <c r="D15" s="5" t="s">
        <v>6</v>
      </c>
      <c r="E15" s="5" t="s">
        <v>16</v>
      </c>
      <c r="F15" s="6" t="s">
        <v>93</v>
      </c>
      <c r="G15" s="6" t="s">
        <v>33</v>
      </c>
      <c r="H15" s="6" t="s">
        <v>94</v>
      </c>
      <c r="I15" s="6" t="s">
        <v>95</v>
      </c>
      <c r="J15" s="6" t="s">
        <v>312</v>
      </c>
      <c r="K15" s="6" t="s">
        <v>313</v>
      </c>
      <c r="L15" s="8" t="s">
        <v>308</v>
      </c>
      <c r="M15" s="5" t="s">
        <v>11</v>
      </c>
    </row>
    <row r="16" spans="1:13" ht="55.05" customHeight="1" x14ac:dyDescent="0.3">
      <c r="A16" s="5" t="s">
        <v>96</v>
      </c>
      <c r="B16" s="5" t="s">
        <v>70</v>
      </c>
      <c r="C16" s="5" t="s">
        <v>79</v>
      </c>
      <c r="D16" s="5" t="s">
        <v>6</v>
      </c>
      <c r="E16" s="5" t="s">
        <v>16</v>
      </c>
      <c r="F16" s="6" t="s">
        <v>97</v>
      </c>
      <c r="G16" s="6" t="s">
        <v>33</v>
      </c>
      <c r="H16" s="6" t="s">
        <v>98</v>
      </c>
      <c r="I16" s="6" t="s">
        <v>99</v>
      </c>
      <c r="J16" s="6" t="s">
        <v>100</v>
      </c>
      <c r="K16" s="9" t="s">
        <v>314</v>
      </c>
      <c r="L16" s="8" t="s">
        <v>308</v>
      </c>
      <c r="M16" s="5" t="s">
        <v>12</v>
      </c>
    </row>
    <row r="17" spans="1:13" ht="55.05" customHeight="1" x14ac:dyDescent="0.3">
      <c r="A17" s="5" t="s">
        <v>101</v>
      </c>
      <c r="B17" s="5" t="s">
        <v>70</v>
      </c>
      <c r="C17" s="5" t="s">
        <v>61</v>
      </c>
      <c r="D17" s="5" t="s">
        <v>6</v>
      </c>
      <c r="E17" s="5" t="s">
        <v>16</v>
      </c>
      <c r="F17" s="6" t="s">
        <v>102</v>
      </c>
      <c r="G17" s="6" t="s">
        <v>33</v>
      </c>
      <c r="H17" s="6" t="s">
        <v>103</v>
      </c>
      <c r="I17" s="6" t="s">
        <v>58</v>
      </c>
      <c r="J17" s="6" t="s">
        <v>315</v>
      </c>
      <c r="K17" s="6" t="s">
        <v>316</v>
      </c>
      <c r="L17" s="8" t="s">
        <v>308</v>
      </c>
      <c r="M17" s="5" t="s">
        <v>12</v>
      </c>
    </row>
    <row r="18" spans="1:13" ht="55.05" customHeight="1" x14ac:dyDescent="0.3">
      <c r="A18" s="5" t="s">
        <v>104</v>
      </c>
      <c r="B18" s="5" t="s">
        <v>70</v>
      </c>
      <c r="C18" s="5" t="s">
        <v>61</v>
      </c>
      <c r="D18" s="5" t="s">
        <v>6</v>
      </c>
      <c r="E18" s="5" t="s">
        <v>16</v>
      </c>
      <c r="F18" s="6" t="s">
        <v>105</v>
      </c>
      <c r="G18" s="6" t="s">
        <v>33</v>
      </c>
      <c r="H18" s="6" t="s">
        <v>106</v>
      </c>
      <c r="I18" s="6" t="s">
        <v>107</v>
      </c>
      <c r="J18" s="6" t="s">
        <v>320</v>
      </c>
      <c r="K18" s="9" t="s">
        <v>321</v>
      </c>
      <c r="L18" s="7" t="s">
        <v>299</v>
      </c>
      <c r="M18" s="5" t="s">
        <v>13</v>
      </c>
    </row>
    <row r="19" spans="1:13" ht="55.05" customHeight="1" x14ac:dyDescent="0.3">
      <c r="A19" s="5" t="s">
        <v>108</v>
      </c>
      <c r="B19" s="5" t="s">
        <v>109</v>
      </c>
      <c r="C19" s="5" t="s">
        <v>110</v>
      </c>
      <c r="D19" s="5" t="s">
        <v>6</v>
      </c>
      <c r="E19" s="5" t="s">
        <v>15</v>
      </c>
      <c r="F19" s="6" t="s">
        <v>111</v>
      </c>
      <c r="G19" s="6" t="s">
        <v>112</v>
      </c>
      <c r="H19" s="6" t="s">
        <v>113</v>
      </c>
      <c r="I19" s="6" t="s">
        <v>114</v>
      </c>
      <c r="J19" s="6" t="s">
        <v>322</v>
      </c>
      <c r="K19" s="6" t="s">
        <v>323</v>
      </c>
      <c r="L19" s="7" t="s">
        <v>299</v>
      </c>
      <c r="M19" s="5" t="s">
        <v>11</v>
      </c>
    </row>
    <row r="20" spans="1:13" ht="55.05" customHeight="1" x14ac:dyDescent="0.3">
      <c r="A20" s="5" t="s">
        <v>115</v>
      </c>
      <c r="B20" s="5" t="s">
        <v>116</v>
      </c>
      <c r="C20" s="5" t="s">
        <v>110</v>
      </c>
      <c r="D20" s="5" t="s">
        <v>6</v>
      </c>
      <c r="E20" s="5" t="s">
        <v>16</v>
      </c>
      <c r="F20" s="6" t="s">
        <v>117</v>
      </c>
      <c r="G20" s="6" t="s">
        <v>33</v>
      </c>
      <c r="H20" s="6" t="s">
        <v>118</v>
      </c>
      <c r="I20" s="6" t="s">
        <v>119</v>
      </c>
      <c r="J20" s="6" t="s">
        <v>120</v>
      </c>
      <c r="K20" s="6" t="s">
        <v>326</v>
      </c>
      <c r="L20" s="7" t="s">
        <v>299</v>
      </c>
      <c r="M20" s="5" t="s">
        <v>12</v>
      </c>
    </row>
    <row r="21" spans="1:13" ht="55.05" customHeight="1" x14ac:dyDescent="0.3">
      <c r="A21" s="5" t="s">
        <v>121</v>
      </c>
      <c r="B21" s="5" t="s">
        <v>116</v>
      </c>
      <c r="C21" s="5" t="s">
        <v>110</v>
      </c>
      <c r="D21" s="5" t="s">
        <v>6</v>
      </c>
      <c r="E21" s="5" t="s">
        <v>16</v>
      </c>
      <c r="F21" s="6" t="s">
        <v>122</v>
      </c>
      <c r="G21" s="6" t="s">
        <v>33</v>
      </c>
      <c r="H21" s="6" t="s">
        <v>123</v>
      </c>
      <c r="I21" s="6" t="s">
        <v>124</v>
      </c>
      <c r="J21" s="6" t="s">
        <v>125</v>
      </c>
      <c r="K21" s="6" t="s">
        <v>324</v>
      </c>
      <c r="L21" s="7" t="s">
        <v>299</v>
      </c>
      <c r="M21" s="5" t="s">
        <v>13</v>
      </c>
    </row>
    <row r="22" spans="1:13" ht="55.05" customHeight="1" x14ac:dyDescent="0.3">
      <c r="A22" s="5" t="s">
        <v>126</v>
      </c>
      <c r="B22" s="5" t="s">
        <v>127</v>
      </c>
      <c r="C22" s="5" t="s">
        <v>128</v>
      </c>
      <c r="D22" s="5" t="s">
        <v>6</v>
      </c>
      <c r="E22" s="5" t="s">
        <v>15</v>
      </c>
      <c r="F22" s="6" t="s">
        <v>129</v>
      </c>
      <c r="G22" s="6" t="s">
        <v>130</v>
      </c>
      <c r="H22" s="6" t="s">
        <v>131</v>
      </c>
      <c r="I22" s="6" t="s">
        <v>132</v>
      </c>
      <c r="J22" s="6" t="s">
        <v>325</v>
      </c>
      <c r="K22" s="6" t="s">
        <v>327</v>
      </c>
      <c r="L22" s="7" t="s">
        <v>299</v>
      </c>
      <c r="M22" s="5" t="s">
        <v>12</v>
      </c>
    </row>
    <row r="23" spans="1:13" ht="55.05" customHeight="1" x14ac:dyDescent="0.3">
      <c r="A23" s="5" t="s">
        <v>133</v>
      </c>
      <c r="B23" s="5" t="s">
        <v>127</v>
      </c>
      <c r="C23" s="5" t="s">
        <v>128</v>
      </c>
      <c r="D23" s="5" t="s">
        <v>6</v>
      </c>
      <c r="E23" s="5" t="s">
        <v>15</v>
      </c>
      <c r="F23" s="6" t="s">
        <v>134</v>
      </c>
      <c r="G23" s="6" t="s">
        <v>135</v>
      </c>
      <c r="H23" s="6" t="s">
        <v>136</v>
      </c>
      <c r="I23" s="6" t="s">
        <v>137</v>
      </c>
      <c r="J23" s="6" t="s">
        <v>138</v>
      </c>
      <c r="K23" s="6" t="s">
        <v>328</v>
      </c>
      <c r="L23" s="7" t="s">
        <v>299</v>
      </c>
      <c r="M23" s="5" t="s">
        <v>12</v>
      </c>
    </row>
    <row r="24" spans="1:13" ht="55.05" customHeight="1" x14ac:dyDescent="0.3">
      <c r="A24" s="5" t="s">
        <v>139</v>
      </c>
      <c r="B24" s="5" t="s">
        <v>127</v>
      </c>
      <c r="C24" s="5" t="s">
        <v>128</v>
      </c>
      <c r="D24" s="5" t="s">
        <v>6</v>
      </c>
      <c r="E24" s="5" t="s">
        <v>15</v>
      </c>
      <c r="F24" s="6" t="s">
        <v>140</v>
      </c>
      <c r="G24" s="6" t="s">
        <v>141</v>
      </c>
      <c r="H24" s="6" t="s">
        <v>142</v>
      </c>
      <c r="I24" s="6" t="s">
        <v>143</v>
      </c>
      <c r="J24" s="6" t="s">
        <v>144</v>
      </c>
      <c r="K24" s="6" t="s">
        <v>329</v>
      </c>
      <c r="L24" s="7" t="s">
        <v>299</v>
      </c>
      <c r="M24" s="5" t="s">
        <v>12</v>
      </c>
    </row>
    <row r="25" spans="1:13" ht="55.05" customHeight="1" x14ac:dyDescent="0.3">
      <c r="A25" s="5" t="s">
        <v>145</v>
      </c>
      <c r="B25" s="5" t="s">
        <v>127</v>
      </c>
      <c r="C25" s="5" t="s">
        <v>128</v>
      </c>
      <c r="D25" s="5" t="s">
        <v>6</v>
      </c>
      <c r="E25" s="5" t="s">
        <v>15</v>
      </c>
      <c r="F25" s="6" t="s">
        <v>146</v>
      </c>
      <c r="G25" s="6" t="s">
        <v>147</v>
      </c>
      <c r="H25" s="6" t="s">
        <v>148</v>
      </c>
      <c r="I25" s="6" t="s">
        <v>149</v>
      </c>
      <c r="J25" s="6" t="s">
        <v>330</v>
      </c>
      <c r="K25" s="6" t="s">
        <v>331</v>
      </c>
      <c r="L25" s="7" t="s">
        <v>299</v>
      </c>
      <c r="M25" s="5" t="s">
        <v>13</v>
      </c>
    </row>
    <row r="26" spans="1:13" ht="55.05" customHeight="1" x14ac:dyDescent="0.3">
      <c r="A26" s="5" t="s">
        <v>150</v>
      </c>
      <c r="B26" s="5" t="s">
        <v>151</v>
      </c>
      <c r="C26" s="5" t="s">
        <v>128</v>
      </c>
      <c r="D26" s="5" t="s">
        <v>6</v>
      </c>
      <c r="E26" s="5" t="s">
        <v>15</v>
      </c>
      <c r="F26" s="6" t="s">
        <v>152</v>
      </c>
      <c r="G26" s="6" t="s">
        <v>153</v>
      </c>
      <c r="H26" s="6" t="s">
        <v>154</v>
      </c>
      <c r="I26" s="6" t="s">
        <v>155</v>
      </c>
      <c r="J26" s="6" t="s">
        <v>332</v>
      </c>
      <c r="K26" s="6" t="s">
        <v>334</v>
      </c>
      <c r="L26" s="7" t="s">
        <v>299</v>
      </c>
      <c r="M26" s="5" t="s">
        <v>12</v>
      </c>
    </row>
    <row r="27" spans="1:13" ht="55.05" customHeight="1" x14ac:dyDescent="0.3">
      <c r="A27" s="5" t="s">
        <v>156</v>
      </c>
      <c r="B27" s="5" t="s">
        <v>151</v>
      </c>
      <c r="C27" s="5" t="s">
        <v>128</v>
      </c>
      <c r="D27" s="5" t="s">
        <v>6</v>
      </c>
      <c r="E27" s="5" t="s">
        <v>15</v>
      </c>
      <c r="F27" s="6" t="s">
        <v>157</v>
      </c>
      <c r="G27" s="6" t="s">
        <v>158</v>
      </c>
      <c r="H27" s="6" t="s">
        <v>159</v>
      </c>
      <c r="I27" s="6" t="s">
        <v>160</v>
      </c>
      <c r="J27" s="6" t="s">
        <v>333</v>
      </c>
      <c r="K27" s="6" t="s">
        <v>335</v>
      </c>
      <c r="L27" s="7" t="s">
        <v>299</v>
      </c>
      <c r="M27" s="5" t="s">
        <v>12</v>
      </c>
    </row>
    <row r="28" spans="1:13" ht="55.05" customHeight="1" x14ac:dyDescent="0.3">
      <c r="A28" s="5" t="s">
        <v>161</v>
      </c>
      <c r="B28" s="5" t="s">
        <v>151</v>
      </c>
      <c r="C28" s="5" t="s">
        <v>128</v>
      </c>
      <c r="D28" s="5" t="s">
        <v>6</v>
      </c>
      <c r="E28" s="5" t="s">
        <v>16</v>
      </c>
      <c r="F28" s="6" t="s">
        <v>162</v>
      </c>
      <c r="G28" s="6" t="s">
        <v>33</v>
      </c>
      <c r="H28" s="6" t="s">
        <v>163</v>
      </c>
      <c r="I28" s="6" t="s">
        <v>164</v>
      </c>
      <c r="J28" s="6" t="s">
        <v>165</v>
      </c>
      <c r="K28" s="6" t="s">
        <v>336</v>
      </c>
      <c r="L28" s="7" t="s">
        <v>299</v>
      </c>
      <c r="M28" s="5" t="s">
        <v>13</v>
      </c>
    </row>
    <row r="29" spans="1:13" ht="55.05" customHeight="1" x14ac:dyDescent="0.3">
      <c r="A29" s="5" t="s">
        <v>166</v>
      </c>
      <c r="B29" s="5" t="s">
        <v>167</v>
      </c>
      <c r="C29" s="5" t="s">
        <v>168</v>
      </c>
      <c r="D29" s="5" t="s">
        <v>6</v>
      </c>
      <c r="E29" s="5" t="s">
        <v>15</v>
      </c>
      <c r="F29" s="6" t="s">
        <v>169</v>
      </c>
      <c r="G29" s="6" t="s">
        <v>338</v>
      </c>
      <c r="H29" s="6" t="s">
        <v>171</v>
      </c>
      <c r="I29" s="6" t="s">
        <v>172</v>
      </c>
      <c r="J29" s="6" t="s">
        <v>337</v>
      </c>
      <c r="K29" s="6" t="s">
        <v>339</v>
      </c>
      <c r="L29" s="7" t="s">
        <v>299</v>
      </c>
      <c r="M29" s="5" t="s">
        <v>11</v>
      </c>
    </row>
    <row r="30" spans="1:13" ht="55.05" customHeight="1" x14ac:dyDescent="0.3">
      <c r="A30" s="5" t="s">
        <v>173</v>
      </c>
      <c r="B30" s="5" t="s">
        <v>174</v>
      </c>
      <c r="C30" s="5" t="s">
        <v>168</v>
      </c>
      <c r="D30" s="5" t="s">
        <v>6</v>
      </c>
      <c r="E30" s="5" t="s">
        <v>16</v>
      </c>
      <c r="F30" s="6" t="s">
        <v>175</v>
      </c>
      <c r="G30" s="6" t="s">
        <v>112</v>
      </c>
      <c r="H30" s="6" t="s">
        <v>176</v>
      </c>
      <c r="I30" s="6" t="s">
        <v>177</v>
      </c>
      <c r="J30" s="6" t="s">
        <v>178</v>
      </c>
      <c r="K30" s="6" t="s">
        <v>340</v>
      </c>
      <c r="L30" s="7" t="s">
        <v>299</v>
      </c>
      <c r="M30" s="5" t="s">
        <v>11</v>
      </c>
    </row>
    <row r="31" spans="1:13" ht="55.05" customHeight="1" x14ac:dyDescent="0.3">
      <c r="A31" s="5" t="s">
        <v>179</v>
      </c>
      <c r="B31" s="5" t="s">
        <v>174</v>
      </c>
      <c r="C31" s="5" t="s">
        <v>168</v>
      </c>
      <c r="D31" s="5" t="s">
        <v>6</v>
      </c>
      <c r="E31" s="5" t="s">
        <v>16</v>
      </c>
      <c r="F31" s="6" t="s">
        <v>180</v>
      </c>
      <c r="G31" s="6" t="s">
        <v>112</v>
      </c>
      <c r="H31" s="6" t="s">
        <v>181</v>
      </c>
      <c r="I31" s="6" t="s">
        <v>182</v>
      </c>
      <c r="J31" s="6" t="s">
        <v>178</v>
      </c>
      <c r="K31" s="6" t="s">
        <v>340</v>
      </c>
      <c r="L31" s="7" t="s">
        <v>299</v>
      </c>
      <c r="M31" s="5" t="s">
        <v>11</v>
      </c>
    </row>
    <row r="32" spans="1:13" ht="55.05" customHeight="1" x14ac:dyDescent="0.3">
      <c r="A32" s="5" t="s">
        <v>183</v>
      </c>
      <c r="B32" s="5" t="s">
        <v>184</v>
      </c>
      <c r="C32" s="5" t="s">
        <v>168</v>
      </c>
      <c r="D32" s="5" t="s">
        <v>6</v>
      </c>
      <c r="E32" s="5" t="s">
        <v>16</v>
      </c>
      <c r="F32" s="6" t="s">
        <v>185</v>
      </c>
      <c r="G32" s="6" t="s">
        <v>186</v>
      </c>
      <c r="H32" s="6" t="s">
        <v>187</v>
      </c>
      <c r="I32" s="6" t="s">
        <v>119</v>
      </c>
      <c r="J32" s="6" t="s">
        <v>188</v>
      </c>
      <c r="K32" s="6" t="s">
        <v>341</v>
      </c>
      <c r="L32" s="8" t="s">
        <v>308</v>
      </c>
      <c r="M32" s="5" t="s">
        <v>12</v>
      </c>
    </row>
    <row r="33" spans="1:13" ht="55.05" customHeight="1" x14ac:dyDescent="0.3">
      <c r="A33" s="5" t="s">
        <v>189</v>
      </c>
      <c r="B33" s="5" t="s">
        <v>184</v>
      </c>
      <c r="C33" s="5" t="s">
        <v>190</v>
      </c>
      <c r="D33" s="5" t="s">
        <v>6</v>
      </c>
      <c r="E33" s="5" t="s">
        <v>16</v>
      </c>
      <c r="F33" s="6" t="s">
        <v>191</v>
      </c>
      <c r="G33" s="6" t="s">
        <v>170</v>
      </c>
      <c r="H33" s="6" t="s">
        <v>192</v>
      </c>
      <c r="I33" s="6" t="s">
        <v>193</v>
      </c>
      <c r="J33" s="6" t="s">
        <v>194</v>
      </c>
      <c r="K33" s="6" t="s">
        <v>342</v>
      </c>
      <c r="L33" s="7" t="s">
        <v>299</v>
      </c>
      <c r="M33" s="5" t="s">
        <v>12</v>
      </c>
    </row>
    <row r="34" spans="1:13" ht="55.05" customHeight="1" x14ac:dyDescent="0.3">
      <c r="A34" s="5" t="s">
        <v>195</v>
      </c>
      <c r="B34" s="5" t="s">
        <v>184</v>
      </c>
      <c r="C34" s="5" t="s">
        <v>190</v>
      </c>
      <c r="D34" s="5" t="s">
        <v>6</v>
      </c>
      <c r="E34" s="5" t="s">
        <v>16</v>
      </c>
      <c r="F34" s="6" t="s">
        <v>196</v>
      </c>
      <c r="G34" s="6" t="s">
        <v>170</v>
      </c>
      <c r="H34" s="6" t="s">
        <v>197</v>
      </c>
      <c r="I34" s="6" t="s">
        <v>198</v>
      </c>
      <c r="J34" s="6" t="s">
        <v>199</v>
      </c>
      <c r="K34" s="6" t="s">
        <v>343</v>
      </c>
      <c r="L34" s="7" t="s">
        <v>299</v>
      </c>
      <c r="M34" s="5" t="s">
        <v>12</v>
      </c>
    </row>
    <row r="35" spans="1:13" ht="55.05" customHeight="1" x14ac:dyDescent="0.3">
      <c r="A35" s="5" t="s">
        <v>200</v>
      </c>
      <c r="B35" s="5" t="s">
        <v>201</v>
      </c>
      <c r="C35" s="5" t="s">
        <v>202</v>
      </c>
      <c r="D35" s="5" t="s">
        <v>6</v>
      </c>
      <c r="E35" s="5" t="s">
        <v>15</v>
      </c>
      <c r="F35" s="6" t="s">
        <v>203</v>
      </c>
      <c r="G35" s="6" t="s">
        <v>170</v>
      </c>
      <c r="H35" s="6" t="s">
        <v>204</v>
      </c>
      <c r="I35" s="6" t="s">
        <v>205</v>
      </c>
      <c r="J35" s="6" t="s">
        <v>344</v>
      </c>
      <c r="K35" s="6" t="s">
        <v>346</v>
      </c>
      <c r="L35" s="7" t="s">
        <v>299</v>
      </c>
      <c r="M35" s="5" t="s">
        <v>11</v>
      </c>
    </row>
    <row r="36" spans="1:13" ht="55.05" customHeight="1" x14ac:dyDescent="0.3">
      <c r="A36" s="5" t="s">
        <v>206</v>
      </c>
      <c r="B36" s="5" t="s">
        <v>201</v>
      </c>
      <c r="C36" s="5" t="s">
        <v>202</v>
      </c>
      <c r="D36" s="5" t="s">
        <v>6</v>
      </c>
      <c r="E36" s="5" t="s">
        <v>15</v>
      </c>
      <c r="F36" s="6" t="s">
        <v>207</v>
      </c>
      <c r="G36" s="6" t="s">
        <v>170</v>
      </c>
      <c r="H36" s="6" t="s">
        <v>208</v>
      </c>
      <c r="I36" s="6" t="s">
        <v>209</v>
      </c>
      <c r="J36" s="6" t="s">
        <v>345</v>
      </c>
      <c r="K36" s="6" t="s">
        <v>347</v>
      </c>
      <c r="L36" s="7" t="s">
        <v>299</v>
      </c>
      <c r="M36" s="5" t="s">
        <v>12</v>
      </c>
    </row>
    <row r="37" spans="1:13" ht="55.05" customHeight="1" x14ac:dyDescent="0.3">
      <c r="A37" s="5" t="s">
        <v>210</v>
      </c>
      <c r="B37" s="5" t="s">
        <v>201</v>
      </c>
      <c r="C37" s="5" t="s">
        <v>202</v>
      </c>
      <c r="D37" s="5" t="s">
        <v>6</v>
      </c>
      <c r="E37" s="5" t="s">
        <v>16</v>
      </c>
      <c r="F37" s="6" t="s">
        <v>211</v>
      </c>
      <c r="G37" s="6" t="s">
        <v>112</v>
      </c>
      <c r="H37" s="6" t="s">
        <v>212</v>
      </c>
      <c r="I37" s="6" t="s">
        <v>213</v>
      </c>
      <c r="J37" s="6" t="s">
        <v>178</v>
      </c>
      <c r="K37" s="6" t="s">
        <v>348</v>
      </c>
      <c r="L37" s="7" t="s">
        <v>299</v>
      </c>
      <c r="M37" s="5" t="s">
        <v>11</v>
      </c>
    </row>
    <row r="38" spans="1:13" ht="55.05" customHeight="1" x14ac:dyDescent="0.3">
      <c r="A38" s="5" t="s">
        <v>214</v>
      </c>
      <c r="B38" s="5" t="s">
        <v>201</v>
      </c>
      <c r="C38" s="5" t="s">
        <v>202</v>
      </c>
      <c r="D38" s="5" t="s">
        <v>6</v>
      </c>
      <c r="E38" s="5" t="s">
        <v>16</v>
      </c>
      <c r="F38" s="6" t="s">
        <v>215</v>
      </c>
      <c r="G38" s="6" t="s">
        <v>170</v>
      </c>
      <c r="H38" s="6" t="s">
        <v>216</v>
      </c>
      <c r="I38" s="6" t="s">
        <v>58</v>
      </c>
      <c r="J38" s="6" t="s">
        <v>349</v>
      </c>
      <c r="K38" s="6" t="s">
        <v>350</v>
      </c>
      <c r="L38" s="7" t="s">
        <v>299</v>
      </c>
      <c r="M38" s="5" t="s">
        <v>13</v>
      </c>
    </row>
    <row r="39" spans="1:13" ht="55.05" customHeight="1" x14ac:dyDescent="0.3">
      <c r="A39" s="5" t="s">
        <v>217</v>
      </c>
      <c r="B39" s="5" t="s">
        <v>218</v>
      </c>
      <c r="C39" s="5" t="s">
        <v>219</v>
      </c>
      <c r="D39" s="5" t="s">
        <v>6</v>
      </c>
      <c r="E39" s="5" t="s">
        <v>15</v>
      </c>
      <c r="F39" s="6" t="s">
        <v>220</v>
      </c>
      <c r="G39" s="6" t="s">
        <v>170</v>
      </c>
      <c r="H39" s="6" t="s">
        <v>221</v>
      </c>
      <c r="I39" s="6" t="s">
        <v>222</v>
      </c>
      <c r="J39" s="6" t="s">
        <v>223</v>
      </c>
      <c r="K39" s="6" t="s">
        <v>351</v>
      </c>
      <c r="L39" s="7" t="s">
        <v>299</v>
      </c>
      <c r="M39" s="5" t="s">
        <v>11</v>
      </c>
    </row>
    <row r="40" spans="1:13" ht="55.05" customHeight="1" x14ac:dyDescent="0.3">
      <c r="A40" s="5" t="s">
        <v>224</v>
      </c>
      <c r="B40" s="5" t="s">
        <v>218</v>
      </c>
      <c r="C40" s="5" t="s">
        <v>219</v>
      </c>
      <c r="D40" s="5" t="s">
        <v>6</v>
      </c>
      <c r="E40" s="5" t="s">
        <v>15</v>
      </c>
      <c r="F40" s="6" t="s">
        <v>225</v>
      </c>
      <c r="G40" s="6" t="s">
        <v>226</v>
      </c>
      <c r="H40" s="6" t="s">
        <v>227</v>
      </c>
      <c r="I40" s="6" t="s">
        <v>228</v>
      </c>
      <c r="J40" s="6" t="s">
        <v>188</v>
      </c>
      <c r="K40" s="6" t="s">
        <v>352</v>
      </c>
      <c r="L40" s="7" t="s">
        <v>299</v>
      </c>
      <c r="M40" s="5" t="s">
        <v>11</v>
      </c>
    </row>
    <row r="41" spans="1:13" ht="55.05" customHeight="1" x14ac:dyDescent="0.3">
      <c r="A41" s="5" t="s">
        <v>229</v>
      </c>
      <c r="B41" s="5" t="s">
        <v>230</v>
      </c>
      <c r="C41" s="5" t="s">
        <v>219</v>
      </c>
      <c r="D41" s="5" t="s">
        <v>6</v>
      </c>
      <c r="E41" s="5" t="s">
        <v>16</v>
      </c>
      <c r="F41" s="6" t="s">
        <v>231</v>
      </c>
      <c r="G41" s="6" t="s">
        <v>112</v>
      </c>
      <c r="H41" s="6" t="s">
        <v>232</v>
      </c>
      <c r="I41" s="6" t="s">
        <v>233</v>
      </c>
      <c r="J41" s="6" t="s">
        <v>353</v>
      </c>
      <c r="K41" s="6" t="s">
        <v>354</v>
      </c>
      <c r="L41" s="7" t="s">
        <v>299</v>
      </c>
      <c r="M41" s="5" t="s">
        <v>11</v>
      </c>
    </row>
    <row r="42" spans="1:13" ht="55.05" customHeight="1" x14ac:dyDescent="0.3">
      <c r="A42" s="5" t="s">
        <v>234</v>
      </c>
      <c r="B42" s="5" t="s">
        <v>230</v>
      </c>
      <c r="C42" s="5" t="s">
        <v>219</v>
      </c>
      <c r="D42" s="5" t="s">
        <v>6</v>
      </c>
      <c r="E42" s="5" t="s">
        <v>16</v>
      </c>
      <c r="F42" s="6" t="s">
        <v>355</v>
      </c>
      <c r="G42" s="6" t="s">
        <v>357</v>
      </c>
      <c r="H42" s="6" t="s">
        <v>356</v>
      </c>
      <c r="I42" s="6" t="s">
        <v>235</v>
      </c>
      <c r="J42" s="6" t="s">
        <v>358</v>
      </c>
      <c r="K42" s="6" t="s">
        <v>359</v>
      </c>
      <c r="L42" s="7" t="s">
        <v>299</v>
      </c>
      <c r="M42" s="5" t="s">
        <v>11</v>
      </c>
    </row>
    <row r="43" spans="1:13" ht="55.05" customHeight="1" x14ac:dyDescent="0.3">
      <c r="A43" s="5" t="s">
        <v>236</v>
      </c>
      <c r="B43" s="5" t="s">
        <v>237</v>
      </c>
      <c r="C43" s="5" t="s">
        <v>219</v>
      </c>
      <c r="D43" s="5" t="s">
        <v>6</v>
      </c>
      <c r="E43" s="5" t="s">
        <v>16</v>
      </c>
      <c r="F43" s="6" t="s">
        <v>238</v>
      </c>
      <c r="G43" s="6" t="s">
        <v>186</v>
      </c>
      <c r="H43" s="6" t="s">
        <v>239</v>
      </c>
      <c r="I43" s="6" t="s">
        <v>119</v>
      </c>
      <c r="J43" s="6" t="s">
        <v>188</v>
      </c>
      <c r="K43" s="6" t="s">
        <v>341</v>
      </c>
      <c r="L43" s="8" t="s">
        <v>308</v>
      </c>
      <c r="M43" s="5" t="s">
        <v>12</v>
      </c>
    </row>
    <row r="44" spans="1:13" ht="55.05" customHeight="1" x14ac:dyDescent="0.3">
      <c r="A44" s="5" t="s">
        <v>240</v>
      </c>
      <c r="B44" s="5" t="s">
        <v>237</v>
      </c>
      <c r="C44" s="5" t="s">
        <v>219</v>
      </c>
      <c r="D44" s="5" t="s">
        <v>6</v>
      </c>
      <c r="E44" s="5" t="s">
        <v>15</v>
      </c>
      <c r="F44" s="6" t="s">
        <v>241</v>
      </c>
      <c r="G44" s="6" t="s">
        <v>170</v>
      </c>
      <c r="H44" s="6" t="s">
        <v>242</v>
      </c>
      <c r="I44" s="6" t="s">
        <v>222</v>
      </c>
      <c r="J44" s="6" t="s">
        <v>243</v>
      </c>
      <c r="K44" s="6" t="s">
        <v>360</v>
      </c>
      <c r="L44" s="8" t="s">
        <v>308</v>
      </c>
      <c r="M44" s="5" t="s">
        <v>13</v>
      </c>
    </row>
    <row r="45" spans="1:13" ht="55.05" customHeight="1" x14ac:dyDescent="0.3">
      <c r="A45" s="5" t="s">
        <v>244</v>
      </c>
      <c r="B45" s="5" t="s">
        <v>245</v>
      </c>
      <c r="C45" s="5" t="s">
        <v>246</v>
      </c>
      <c r="D45" s="5" t="s">
        <v>7</v>
      </c>
      <c r="E45" s="5" t="s">
        <v>17</v>
      </c>
      <c r="F45" s="6" t="s">
        <v>247</v>
      </c>
      <c r="G45" s="6" t="s">
        <v>33</v>
      </c>
      <c r="H45" s="6" t="s">
        <v>248</v>
      </c>
      <c r="I45" s="6" t="s">
        <v>249</v>
      </c>
      <c r="J45" s="6" t="s">
        <v>250</v>
      </c>
      <c r="K45" s="6" t="s">
        <v>361</v>
      </c>
      <c r="L45" s="7" t="s">
        <v>299</v>
      </c>
      <c r="M45" s="5" t="s">
        <v>12</v>
      </c>
    </row>
    <row r="46" spans="1:13" ht="55.05" customHeight="1" x14ac:dyDescent="0.3">
      <c r="A46" s="5" t="s">
        <v>251</v>
      </c>
      <c r="B46" s="5" t="s">
        <v>245</v>
      </c>
      <c r="C46" s="5" t="s">
        <v>246</v>
      </c>
      <c r="D46" s="5" t="s">
        <v>7</v>
      </c>
      <c r="E46" s="5" t="s">
        <v>17</v>
      </c>
      <c r="F46" s="6" t="s">
        <v>252</v>
      </c>
      <c r="G46" s="6" t="s">
        <v>33</v>
      </c>
      <c r="H46" s="6" t="s">
        <v>253</v>
      </c>
      <c r="I46" s="6" t="s">
        <v>254</v>
      </c>
      <c r="J46" s="6" t="s">
        <v>255</v>
      </c>
      <c r="K46" s="6" t="s">
        <v>362</v>
      </c>
      <c r="L46" s="7" t="s">
        <v>299</v>
      </c>
      <c r="M46" s="5" t="s">
        <v>13</v>
      </c>
    </row>
    <row r="47" spans="1:13" ht="55.05" customHeight="1" x14ac:dyDescent="0.3">
      <c r="A47" s="5" t="s">
        <v>256</v>
      </c>
      <c r="B47" s="5" t="s">
        <v>245</v>
      </c>
      <c r="C47" s="5" t="s">
        <v>246</v>
      </c>
      <c r="D47" s="5" t="s">
        <v>7</v>
      </c>
      <c r="E47" s="5" t="s">
        <v>17</v>
      </c>
      <c r="F47" s="6" t="s">
        <v>257</v>
      </c>
      <c r="G47" s="6" t="s">
        <v>33</v>
      </c>
      <c r="H47" s="6" t="s">
        <v>258</v>
      </c>
      <c r="I47" s="6" t="s">
        <v>259</v>
      </c>
      <c r="J47" s="6" t="s">
        <v>260</v>
      </c>
      <c r="K47" s="6" t="s">
        <v>363</v>
      </c>
      <c r="L47" s="7" t="s">
        <v>299</v>
      </c>
      <c r="M47" s="5" t="s">
        <v>13</v>
      </c>
    </row>
    <row r="48" spans="1:13" ht="55.05" customHeight="1" x14ac:dyDescent="0.3">
      <c r="A48" s="5" t="s">
        <v>261</v>
      </c>
      <c r="B48" s="5" t="s">
        <v>245</v>
      </c>
      <c r="C48" s="5" t="s">
        <v>246</v>
      </c>
      <c r="D48" s="5" t="s">
        <v>7</v>
      </c>
      <c r="E48" s="5" t="s">
        <v>16</v>
      </c>
      <c r="F48" s="6" t="s">
        <v>262</v>
      </c>
      <c r="G48" s="6" t="s">
        <v>33</v>
      </c>
      <c r="H48" s="6" t="s">
        <v>263</v>
      </c>
      <c r="I48" s="6" t="s">
        <v>264</v>
      </c>
      <c r="J48" s="6" t="s">
        <v>265</v>
      </c>
      <c r="K48" s="6" t="s">
        <v>364</v>
      </c>
      <c r="L48" s="7" t="s">
        <v>299</v>
      </c>
      <c r="M48" s="5" t="s">
        <v>12</v>
      </c>
    </row>
    <row r="49" spans="1:13" ht="55.05" customHeight="1" x14ac:dyDescent="0.3">
      <c r="A49" s="5" t="s">
        <v>266</v>
      </c>
      <c r="B49" s="5" t="s">
        <v>267</v>
      </c>
      <c r="C49" s="5" t="s">
        <v>246</v>
      </c>
      <c r="D49" s="5" t="s">
        <v>7</v>
      </c>
      <c r="E49" s="5" t="s">
        <v>17</v>
      </c>
      <c r="F49" s="6" t="s">
        <v>268</v>
      </c>
      <c r="G49" s="6" t="s">
        <v>33</v>
      </c>
      <c r="H49" s="6" t="s">
        <v>269</v>
      </c>
      <c r="I49" s="6" t="s">
        <v>270</v>
      </c>
      <c r="J49" s="6" t="s">
        <v>271</v>
      </c>
      <c r="K49" s="6" t="s">
        <v>365</v>
      </c>
      <c r="L49" s="7" t="s">
        <v>299</v>
      </c>
      <c r="M49" s="5" t="s">
        <v>13</v>
      </c>
    </row>
    <row r="50" spans="1:13" ht="55.05" customHeight="1" x14ac:dyDescent="0.3">
      <c r="A50" s="5" t="s">
        <v>272</v>
      </c>
      <c r="B50" s="5" t="s">
        <v>273</v>
      </c>
      <c r="C50" s="5" t="s">
        <v>274</v>
      </c>
      <c r="D50" s="5" t="s">
        <v>9</v>
      </c>
      <c r="E50" s="5" t="s">
        <v>15</v>
      </c>
      <c r="F50" s="6" t="s">
        <v>275</v>
      </c>
      <c r="G50" s="6" t="s">
        <v>33</v>
      </c>
      <c r="H50" s="6" t="s">
        <v>276</v>
      </c>
      <c r="I50" s="6" t="s">
        <v>132</v>
      </c>
      <c r="J50" s="6" t="s">
        <v>366</v>
      </c>
      <c r="K50" s="6" t="s">
        <v>367</v>
      </c>
      <c r="L50" s="7" t="s">
        <v>299</v>
      </c>
      <c r="M50" s="5" t="s">
        <v>13</v>
      </c>
    </row>
    <row r="51" spans="1:13" ht="55.05" customHeight="1" x14ac:dyDescent="0.3">
      <c r="A51" s="5" t="s">
        <v>277</v>
      </c>
      <c r="B51" s="5" t="s">
        <v>60</v>
      </c>
      <c r="C51" s="5" t="s">
        <v>61</v>
      </c>
      <c r="D51" s="5" t="s">
        <v>6</v>
      </c>
      <c r="E51" s="5" t="s">
        <v>15</v>
      </c>
      <c r="F51" s="6" t="s">
        <v>278</v>
      </c>
      <c r="G51" s="6" t="s">
        <v>33</v>
      </c>
      <c r="H51" s="6" t="s">
        <v>279</v>
      </c>
      <c r="I51" s="6" t="s">
        <v>280</v>
      </c>
      <c r="J51" s="6" t="s">
        <v>281</v>
      </c>
      <c r="K51" s="6" t="s">
        <v>368</v>
      </c>
      <c r="L51" s="7" t="s">
        <v>299</v>
      </c>
      <c r="M51" s="5" t="s">
        <v>12</v>
      </c>
    </row>
    <row r="52" spans="1:13" ht="55.05" customHeight="1" x14ac:dyDescent="0.3">
      <c r="A52" s="5" t="s">
        <v>282</v>
      </c>
      <c r="B52" s="5" t="s">
        <v>283</v>
      </c>
      <c r="C52" s="5" t="s">
        <v>284</v>
      </c>
      <c r="D52" s="5" t="s">
        <v>8</v>
      </c>
      <c r="E52" s="5" t="s">
        <v>15</v>
      </c>
      <c r="F52" s="6" t="s">
        <v>285</v>
      </c>
      <c r="G52" s="6" t="s">
        <v>130</v>
      </c>
      <c r="H52" s="6" t="s">
        <v>286</v>
      </c>
      <c r="I52" s="6" t="s">
        <v>287</v>
      </c>
      <c r="J52" s="6" t="s">
        <v>288</v>
      </c>
      <c r="K52" s="6" t="s">
        <v>369</v>
      </c>
      <c r="L52" s="7" t="s">
        <v>299</v>
      </c>
      <c r="M52" s="5" t="s">
        <v>13</v>
      </c>
    </row>
    <row r="53" spans="1:13" ht="55.05" customHeight="1" x14ac:dyDescent="0.3">
      <c r="A53" s="5" t="s">
        <v>289</v>
      </c>
      <c r="B53" s="5" t="s">
        <v>290</v>
      </c>
      <c r="C53" s="5" t="s">
        <v>291</v>
      </c>
      <c r="D53" s="5" t="s">
        <v>6</v>
      </c>
      <c r="E53" s="5" t="s">
        <v>15</v>
      </c>
      <c r="F53" s="6" t="s">
        <v>292</v>
      </c>
      <c r="G53" s="6" t="s">
        <v>186</v>
      </c>
      <c r="H53" s="6" t="s">
        <v>293</v>
      </c>
      <c r="I53" s="6" t="s">
        <v>294</v>
      </c>
      <c r="J53" s="6" t="s">
        <v>295</v>
      </c>
      <c r="K53" s="6" t="s">
        <v>370</v>
      </c>
      <c r="L53" s="7" t="s">
        <v>299</v>
      </c>
      <c r="M53" s="5" t="s">
        <v>11</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Vinay Chaudhari</cp:lastModifiedBy>
  <cp:revision>0</cp:revision>
  <dcterms:created xsi:type="dcterms:W3CDTF">2026-09-28T01:53:48Z</dcterms:created>
  <dcterms:modified xsi:type="dcterms:W3CDTF">2026-10-09T08:08:33Z</dcterms:modified>
  <dc:language>en-US</dc:language>
</cp:coreProperties>
</file>